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3700K\Desktop\"/>
    </mc:Choice>
  </mc:AlternateContent>
  <xr:revisionPtr revIDLastSave="0" documentId="13_ncr:1_{0B57ADF9-B890-4ACF-ACC6-D0C9DAB8F11C}" xr6:coauthVersionLast="47" xr6:coauthVersionMax="47" xr10:uidLastSave="{00000000-0000-0000-0000-000000000000}"/>
  <bookViews>
    <workbookView xWindow="-108" yWindow="-108" windowWidth="30936" windowHeight="16776" activeTab="4" xr2:uid="{9373D3CC-5E07-4A7F-9573-95B1DCC24BD7}"/>
  </bookViews>
  <sheets>
    <sheet name="hyd subDPS" sheetId="1" r:id="rId1"/>
    <sheet name="chiori emi" sheetId="2" r:id="rId2"/>
    <sheet name="talentCAL" sheetId="3" r:id="rId3"/>
    <sheet name="DAMAGEcal" sheetId="5" r:id="rId4"/>
    <sheet name="Skirk" sheetId="6" r:id="rId5"/>
    <sheet name="RuanmeiE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7" i="6" l="1"/>
  <c r="I23" i="6"/>
  <c r="C26" i="6"/>
  <c r="E23" i="6"/>
  <c r="E26" i="6"/>
  <c r="C23" i="6"/>
  <c r="E16" i="6"/>
  <c r="C16" i="6"/>
  <c r="E19" i="6"/>
  <c r="E17" i="6"/>
  <c r="E18" i="6"/>
  <c r="C19" i="6"/>
  <c r="C18" i="6"/>
  <c r="C17" i="6"/>
  <c r="C13" i="6"/>
  <c r="N11" i="5"/>
  <c r="N13" i="5"/>
  <c r="N12" i="5"/>
  <c r="N9" i="5"/>
  <c r="I9" i="5"/>
  <c r="N14" i="5" s="1"/>
  <c r="G1" i="4"/>
  <c r="G2" i="4"/>
  <c r="I2" i="4"/>
  <c r="G3" i="4"/>
  <c r="I3" i="4"/>
  <c r="K3" i="4" s="1"/>
  <c r="N3" i="3"/>
  <c r="M3" i="3"/>
  <c r="L3" i="3"/>
  <c r="D20" i="3"/>
  <c r="D18" i="3"/>
  <c r="M4" i="2"/>
  <c r="M6" i="2"/>
  <c r="B15" i="2"/>
  <c r="E15" i="2"/>
  <c r="F15" i="2"/>
  <c r="A16" i="2"/>
  <c r="B16" i="2"/>
  <c r="A17" i="2"/>
  <c r="A18" i="2" s="1"/>
  <c r="A19" i="2" s="1"/>
  <c r="A20" i="2" s="1"/>
  <c r="A21" i="2" s="1"/>
  <c r="B17" i="2"/>
  <c r="B18" i="2"/>
  <c r="B19" i="2"/>
  <c r="B20" i="2"/>
  <c r="B21" i="2"/>
  <c r="B23" i="2"/>
  <c r="E23" i="2"/>
  <c r="E25" i="2" s="1"/>
  <c r="E26" i="2" s="1"/>
  <c r="Q7" i="2" s="1"/>
  <c r="F23" i="2"/>
  <c r="C25" i="2"/>
  <c r="I25" i="2"/>
  <c r="I26" i="2" s="1"/>
  <c r="R7" i="2" s="1"/>
  <c r="R9" i="2" s="1"/>
  <c r="E20" i="5" l="1"/>
  <c r="N10" i="5"/>
  <c r="E21" i="5" s="1"/>
  <c r="O3" i="3"/>
  <c r="C26" i="2"/>
  <c r="S7" i="2" s="1"/>
  <c r="S9" i="2" s="1"/>
  <c r="I14" i="3" l="1"/>
  <c r="N14" i="3" s="1"/>
  <c r="I15" i="3" l="1"/>
  <c r="I16" i="3" s="1"/>
  <c r="K14" i="3"/>
</calcChain>
</file>

<file path=xl/sharedStrings.xml><?xml version="1.0" encoding="utf-8"?>
<sst xmlns="http://schemas.openxmlformats.org/spreadsheetml/2006/main" count="161" uniqueCount="135">
  <si>
    <t>yelan</t>
    <phoneticPr fontId="1"/>
  </si>
  <si>
    <t>フリーな</t>
    <phoneticPr fontId="1"/>
  </si>
  <si>
    <t>エスコ</t>
    <phoneticPr fontId="1"/>
  </si>
  <si>
    <t>10sDMG</t>
    <phoneticPr fontId="1"/>
  </si>
  <si>
    <t>西風</t>
    <rPh sb="0" eb="2">
      <t>セイフウ</t>
    </rPh>
    <phoneticPr fontId="1"/>
  </si>
  <si>
    <t>だんきゅう</t>
    <phoneticPr fontId="1"/>
  </si>
  <si>
    <t>さーんどる</t>
    <phoneticPr fontId="1"/>
  </si>
  <si>
    <t>うらく</t>
    <phoneticPr fontId="1"/>
  </si>
  <si>
    <t>もち</t>
    <phoneticPr fontId="1"/>
  </si>
  <si>
    <t>matrix =1Mhp</t>
    <phoneticPr fontId="1"/>
  </si>
  <si>
    <t>前提</t>
    <rPh sb="0" eb="2">
      <t>ゼンテイ</t>
    </rPh>
    <phoneticPr fontId="1"/>
  </si>
  <si>
    <t>耐性55%ダウン</t>
    <rPh sb="0" eb="2">
      <t>タイセイ</t>
    </rPh>
    <phoneticPr fontId="1"/>
  </si>
  <si>
    <t>100%ダメバフ</t>
    <phoneticPr fontId="1"/>
  </si>
  <si>
    <t>水共鳴</t>
    <rPh sb="0" eb="1">
      <t>ミズ</t>
    </rPh>
    <rPh sb="1" eb="3">
      <t>キョウメイ</t>
    </rPh>
    <phoneticPr fontId="1"/>
  </si>
  <si>
    <t>白フリ爆発→エスコ爆発</t>
    <rPh sb="0" eb="1">
      <t>シロ</t>
    </rPh>
    <rPh sb="3" eb="5">
      <t>バクハツ</t>
    </rPh>
    <rPh sb="9" eb="11">
      <t>バクハツ</t>
    </rPh>
    <phoneticPr fontId="1"/>
  </si>
  <si>
    <t>ゆくあき</t>
    <phoneticPr fontId="1"/>
  </si>
  <si>
    <t>祭礼</t>
    <rPh sb="0" eb="2">
      <t>サイレイ</t>
    </rPh>
    <phoneticPr fontId="1"/>
  </si>
  <si>
    <t>千織</t>
    <rPh sb="0" eb="2">
      <t>チオリ</t>
    </rPh>
    <phoneticPr fontId="1"/>
  </si>
  <si>
    <t>dps</t>
    <phoneticPr fontId="1"/>
  </si>
  <si>
    <t>sumdmg</t>
    <phoneticPr fontId="1"/>
  </si>
  <si>
    <t>atk</t>
    <phoneticPr fontId="1"/>
  </si>
  <si>
    <t>esco</t>
    <phoneticPr fontId="1"/>
  </si>
  <si>
    <t>omae</t>
    <phoneticPr fontId="1"/>
  </si>
  <si>
    <t>def</t>
    <phoneticPr fontId="1"/>
  </si>
  <si>
    <t>chiori</t>
    <phoneticPr fontId="1"/>
  </si>
  <si>
    <t>vs chiori</t>
    <phoneticPr fontId="1"/>
  </si>
  <si>
    <t>emi</t>
    <phoneticPr fontId="1"/>
  </si>
  <si>
    <t>atk[%]</t>
    <phoneticPr fontId="1"/>
  </si>
  <si>
    <t>t[s]</t>
    <phoneticPr fontId="1"/>
  </si>
  <si>
    <t>def[%]</t>
    <phoneticPr fontId="1"/>
  </si>
  <si>
    <t>atk [%]</t>
    <phoneticPr fontId="1"/>
  </si>
  <si>
    <t>t [s]</t>
    <phoneticPr fontId="1"/>
  </si>
  <si>
    <t>esuko</t>
    <phoneticPr fontId="1"/>
  </si>
  <si>
    <t>エミリエ</t>
    <phoneticPr fontId="1"/>
  </si>
  <si>
    <t>※倍率のみのため不確定</t>
    <rPh sb="1" eb="3">
      <t>バイリツ</t>
    </rPh>
    <rPh sb="8" eb="11">
      <t>フカクテイ</t>
    </rPh>
    <phoneticPr fontId="1"/>
  </si>
  <si>
    <t>以下参考</t>
    <rPh sb="0" eb="2">
      <t>イカ</t>
    </rPh>
    <rPh sb="2" eb="4">
      <t>サンコウ</t>
    </rPh>
    <phoneticPr fontId="1"/>
  </si>
  <si>
    <t>天賦レベル</t>
    <rPh sb="0" eb="2">
      <t>テンプ</t>
    </rPh>
    <phoneticPr fontId="1"/>
  </si>
  <si>
    <t>合計素材(緑ベース)</t>
    <rPh sb="0" eb="2">
      <t>ゴウケイ</t>
    </rPh>
    <rPh sb="2" eb="4">
      <t>ソザイ</t>
    </rPh>
    <rPh sb="5" eb="6">
      <t>ミドリ</t>
    </rPh>
    <phoneticPr fontId="1"/>
  </si>
  <si>
    <t>convertor</t>
    <phoneticPr fontId="1"/>
  </si>
  <si>
    <t>green</t>
    <phoneticPr fontId="1"/>
  </si>
  <si>
    <t>blue</t>
    <phoneticPr fontId="1"/>
  </si>
  <si>
    <t>purple</t>
    <phoneticPr fontId="1"/>
  </si>
  <si>
    <t>sum</t>
    <phoneticPr fontId="1"/>
  </si>
  <si>
    <t>天賦素材ドロップ期待値(緑ベース)</t>
    <rPh sb="0" eb="4">
      <t>テンプソザイ</t>
    </rPh>
    <rPh sb="8" eb="11">
      <t>キタイチ</t>
    </rPh>
    <rPh sb="12" eb="13">
      <t>ミドリ</t>
    </rPh>
    <phoneticPr fontId="1"/>
  </si>
  <si>
    <t>IV(resin20)</t>
    <phoneticPr fontId="1"/>
  </si>
  <si>
    <t>resin40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</si>
  <si>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</si>
  <si>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</si>
  <si>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紫</t>
    <rPh sb="0" eb="1">
      <t>ムラサキ</t>
    </rPh>
    <phoneticPr fontId="1"/>
  </si>
  <si>
    <t>現在の所持数</t>
    <rPh sb="0" eb="2">
      <t>ゲンザイ</t>
    </rPh>
    <rPh sb="3" eb="5">
      <t>ショジ</t>
    </rPh>
    <rPh sb="5" eb="6">
      <t>スウ</t>
    </rPh>
    <phoneticPr fontId="1"/>
  </si>
  <si>
    <t>目標天賦</t>
    <rPh sb="0" eb="2">
      <t>モクヒョウ</t>
    </rPh>
    <rPh sb="2" eb="4">
      <t>テンプ</t>
    </rPh>
    <phoneticPr fontId="1"/>
  </si>
  <si>
    <t>通常</t>
    <rPh sb="0" eb="2">
      <t>ツウジョウ</t>
    </rPh>
    <phoneticPr fontId="1"/>
  </si>
  <si>
    <t>スキル</t>
    <phoneticPr fontId="1"/>
  </si>
  <si>
    <t>爆発</t>
    <rPh sb="0" eb="2">
      <t>バクハツ</t>
    </rPh>
    <phoneticPr fontId="1"/>
  </si>
  <si>
    <t>推定周回回数(濃縮ベース)</t>
    <rPh sb="0" eb="2">
      <t>スイテイ</t>
    </rPh>
    <rPh sb="2" eb="4">
      <t>シュウカイ</t>
    </rPh>
    <rPh sb="4" eb="6">
      <t>カイスウ</t>
    </rPh>
    <rPh sb="7" eb="9">
      <t>ノウシュク</t>
    </rPh>
    <phoneticPr fontId="1"/>
  </si>
  <si>
    <t>使用樹脂</t>
    <rPh sb="0" eb="2">
      <t>シヨウ</t>
    </rPh>
    <rPh sb="2" eb="4">
      <t>ジュシ</t>
    </rPh>
    <phoneticPr fontId="1"/>
  </si>
  <si>
    <t>already have</t>
    <phoneticPr fontId="1"/>
  </si>
  <si>
    <t>天賦必要数計算機</t>
    <rPh sb="0" eb="2">
      <t>テンプ</t>
    </rPh>
    <rPh sb="2" eb="5">
      <t>ヒツヨウスウ</t>
    </rPh>
    <rPh sb="5" eb="8">
      <t>ケイサンキ</t>
    </rPh>
    <phoneticPr fontId="1"/>
  </si>
  <si>
    <t>残り必要緑数</t>
    <rPh sb="0" eb="1">
      <t>ノコ</t>
    </rPh>
    <rPh sb="2" eb="4">
      <t>ヒツヨウ</t>
    </rPh>
    <rPh sb="4" eb="5">
      <t>ミドリ</t>
    </rPh>
    <rPh sb="5" eb="6">
      <t>スウ</t>
    </rPh>
    <phoneticPr fontId="1"/>
  </si>
  <si>
    <t>進捗</t>
    <rPh sb="0" eb="2">
      <t>シンチョク</t>
    </rPh>
    <phoneticPr fontId="1"/>
  </si>
  <si>
    <t>増加(％)</t>
    <rPh sb="0" eb="2">
      <t>ゾウカ</t>
    </rPh>
    <phoneticPr fontId="1"/>
  </si>
  <si>
    <t>防御係数</t>
    <rPh sb="0" eb="2">
      <t>ボウギョ</t>
    </rPh>
    <rPh sb="2" eb="4">
      <t>ケイスウ</t>
    </rPh>
    <phoneticPr fontId="1"/>
  </si>
  <si>
    <t>防御ダウン</t>
    <rPh sb="0" eb="2">
      <t>ボウギョ</t>
    </rPh>
    <phoneticPr fontId="1"/>
  </si>
  <si>
    <t>ダメバフ[%]</t>
    <phoneticPr fontId="1"/>
  </si>
  <si>
    <t>会心率[%]</t>
    <rPh sb="0" eb="2">
      <t>カイシン</t>
    </rPh>
    <rPh sb="2" eb="3">
      <t>リツ</t>
    </rPh>
    <phoneticPr fontId="1"/>
  </si>
  <si>
    <t>会心ダメ[%]</t>
    <rPh sb="0" eb="2">
      <t>カイシン</t>
    </rPh>
    <phoneticPr fontId="1"/>
  </si>
  <si>
    <t>攻撃力[val]</t>
    <rPh sb="0" eb="3">
      <t>コウゲキリョク</t>
    </rPh>
    <phoneticPr fontId="1"/>
  </si>
  <si>
    <t>参照</t>
    <rPh sb="0" eb="2">
      <t>サンショウ</t>
    </rPh>
    <phoneticPr fontId="1"/>
  </si>
  <si>
    <t>敵耐性[%]</t>
    <rPh sb="0" eb="1">
      <t>テキ</t>
    </rPh>
    <rPh sb="1" eb="3">
      <t>タイセイ</t>
    </rPh>
    <phoneticPr fontId="1"/>
  </si>
  <si>
    <t>実数加算[val]</t>
    <rPh sb="0" eb="2">
      <t>ジッスウ</t>
    </rPh>
    <rPh sb="2" eb="4">
      <t>カサン</t>
    </rPh>
    <phoneticPr fontId="1"/>
  </si>
  <si>
    <t>防御補正</t>
    <rPh sb="0" eb="4">
      <t>ボウギョホセイ</t>
    </rPh>
    <phoneticPr fontId="1"/>
  </si>
  <si>
    <t>熟知[val]</t>
    <rPh sb="0" eb="2">
      <t>ジュクチ</t>
    </rPh>
    <phoneticPr fontId="1"/>
  </si>
  <si>
    <t>元素反応[type]</t>
    <rPh sb="0" eb="4">
      <t>ゲンソハンノウ</t>
    </rPh>
    <phoneticPr fontId="1"/>
  </si>
  <si>
    <t>防御補正[%]</t>
    <rPh sb="0" eb="4">
      <t>ボウギョホセイ</t>
    </rPh>
    <phoneticPr fontId="1"/>
  </si>
  <si>
    <t xml:space="preserve">ダメージ = (攻撃力 × 天賦倍率 × 特殊乗算 + 実数ダメージ加算) × ダメージバフ補正 × 会心補正 × 元素反応補正 × 敵の防御補正 × 敵の元素耐性補正 </t>
    <phoneticPr fontId="1"/>
  </si>
  <si>
    <t>天賦倍率[%]</t>
    <rPh sb="0" eb="4">
      <t>テンプバイリツ</t>
    </rPh>
    <phoneticPr fontId="1"/>
  </si>
  <si>
    <t xml:space="preserve">ダメージ = (攻撃力 ) × ダメージバフ補正 × 会心補正  × 敵の元素耐性補正 </t>
    <phoneticPr fontId="1"/>
  </si>
  <si>
    <t>簡易表記</t>
    <rPh sb="0" eb="4">
      <t>カンイヒョウキ</t>
    </rPh>
    <phoneticPr fontId="1"/>
  </si>
  <si>
    <t>詳細表記</t>
    <rPh sb="0" eb="2">
      <t>ショウサイ</t>
    </rPh>
    <rPh sb="2" eb="4">
      <t>ヒョウキ</t>
    </rPh>
    <phoneticPr fontId="1"/>
  </si>
  <si>
    <t>攻撃力</t>
    <rPh sb="0" eb="3">
      <t>コウゲキリョク</t>
    </rPh>
    <phoneticPr fontId="1"/>
  </si>
  <si>
    <t>攻撃%</t>
    <rPh sb="0" eb="2">
      <t>コウゲキ</t>
    </rPh>
    <phoneticPr fontId="1"/>
  </si>
  <si>
    <t>res</t>
    <phoneticPr fontId="1"/>
  </si>
  <si>
    <t>期待値計算</t>
    <rPh sb="0" eb="3">
      <t>キタイチ</t>
    </rPh>
    <rPh sb="3" eb="5">
      <t>ケイサン</t>
    </rPh>
    <phoneticPr fontId="1"/>
  </si>
  <si>
    <t>敵元素耐性補正</t>
    <rPh sb="0" eb="1">
      <t>テキ</t>
    </rPh>
    <rPh sb="1" eb="3">
      <t>ゲンソ</t>
    </rPh>
    <rPh sb="3" eb="5">
      <t>タイセイ</t>
    </rPh>
    <rPh sb="5" eb="7">
      <t>ホセイ</t>
    </rPh>
    <phoneticPr fontId="1"/>
  </si>
  <si>
    <t>Correction Value</t>
  </si>
  <si>
    <t>Resistance (%)</t>
  </si>
  <si>
    <t>元素反応補正</t>
    <rPh sb="0" eb="4">
      <t>ゲンソハンノウ</t>
    </rPh>
    <rPh sb="4" eb="6">
      <t>ホセイ</t>
    </rPh>
    <phoneticPr fontId="1"/>
  </si>
  <si>
    <t>2x水蒸発，炎溶解</t>
    <rPh sb="2" eb="3">
      <t>ミズ</t>
    </rPh>
    <rPh sb="3" eb="5">
      <t>ジョウハツ</t>
    </rPh>
    <phoneticPr fontId="1"/>
  </si>
  <si>
    <t>1.5x炎蒸発，氷溶解</t>
    <rPh sb="4" eb="5">
      <t>ホノオ</t>
    </rPh>
    <rPh sb="5" eb="7">
      <t>ジョウハツ</t>
    </rPh>
    <phoneticPr fontId="1"/>
  </si>
  <si>
    <t>元素反応あり</t>
    <rPh sb="0" eb="4">
      <t>ゲンソハンノウ</t>
    </rPh>
    <phoneticPr fontId="1"/>
  </si>
  <si>
    <t>元素反応なし</t>
    <rPh sb="0" eb="4">
      <t>ゲンソハンノウ</t>
    </rPh>
    <phoneticPr fontId="1"/>
  </si>
  <si>
    <t>蒸発溶解反応倍率</t>
    <rPh sb="0" eb="2">
      <t>ジョウハツ</t>
    </rPh>
    <rPh sb="2" eb="4">
      <t>ヨウカイ</t>
    </rPh>
    <rPh sb="4" eb="6">
      <t>ハンノウ</t>
    </rPh>
    <rPh sb="6" eb="8">
      <t>バイリツ</t>
    </rPh>
    <phoneticPr fontId="1"/>
  </si>
  <si>
    <t>熟知の反応ボーナス</t>
    <rPh sb="0" eb="2">
      <t>ジュクチ</t>
    </rPh>
    <rPh sb="3" eb="5">
      <t>ハンノウ</t>
    </rPh>
    <phoneticPr fontId="1"/>
  </si>
  <si>
    <t>元素反応補正 = 蒸発・溶解反応倍率 × ( 1 + 元素熟知の元素反応ダメージボーナス + 装備等の元素反応ダメージボーナス)</t>
  </si>
  <si>
    <t>元素熟知の元素反応ダメージボーナス =  2.78*元素熟知 / (元素熟知+1400)</t>
  </si>
  <si>
    <t>防御補正  = (キャラレベル+100) / {(1 - 防御無視%)×(1 - 防御デバフ％)×(敵レベル+100)+キャラレベル+100}</t>
  </si>
  <si>
    <t>敵レベル[lv]</t>
    <rPh sb="0" eb="1">
      <t>テキ</t>
    </rPh>
    <phoneticPr fontId="1"/>
  </si>
  <si>
    <t>基本</t>
    <rPh sb="0" eb="2">
      <t>キホン</t>
    </rPh>
    <phoneticPr fontId="1"/>
  </si>
  <si>
    <t>詳細</t>
    <rPh sb="0" eb="2">
      <t>ショウサイ</t>
    </rPh>
    <phoneticPr fontId="1"/>
  </si>
  <si>
    <t>※攻撃主90レベル想定</t>
    <rPh sb="1" eb="3">
      <t>コウゲキ</t>
    </rPh>
    <rPh sb="3" eb="4">
      <t>ヌシ</t>
    </rPh>
    <rPh sb="9" eb="11">
      <t>ソウテイ</t>
    </rPh>
    <phoneticPr fontId="1"/>
  </si>
  <si>
    <t>//防御ダウン，無視は乗算のため別に計算が必要</t>
    <rPh sb="2" eb="4">
      <t>ボウギョ</t>
    </rPh>
    <rPh sb="8" eb="10">
      <t>ムシ</t>
    </rPh>
    <rPh sb="11" eb="13">
      <t>ジョウザン</t>
    </rPh>
    <rPh sb="16" eb="17">
      <t>ベツ</t>
    </rPh>
    <rPh sb="18" eb="20">
      <t>ケイサン</t>
    </rPh>
    <rPh sb="21" eb="23">
      <t>ヒツヨウ</t>
    </rPh>
    <phoneticPr fontId="1"/>
  </si>
  <si>
    <t>攻撃力計算用</t>
    <rPh sb="0" eb="3">
      <t>コウゲキリョク</t>
    </rPh>
    <rPh sb="3" eb="6">
      <t>ケイサンヨウ</t>
    </rPh>
    <phoneticPr fontId="1"/>
  </si>
  <si>
    <t>tmp for cal</t>
    <phoneticPr fontId="1"/>
  </si>
  <si>
    <t>%こっちでも可(必要ないときはリセットして</t>
    <rPh sb="6" eb="7">
      <t>カ</t>
    </rPh>
    <rPh sb="8" eb="10">
      <t>ヒツヨウ</t>
    </rPh>
    <phoneticPr fontId="1"/>
  </si>
  <si>
    <t>E0</t>
    <phoneticPr fontId="1"/>
  </si>
  <si>
    <t>E1</t>
    <phoneticPr fontId="1"/>
  </si>
  <si>
    <t>スカーク</t>
    <phoneticPr fontId="1"/>
  </si>
  <si>
    <t>基礎攻撃力</t>
    <rPh sb="0" eb="5">
      <t>キソコウゲキリョク</t>
    </rPh>
    <phoneticPr fontId="1"/>
  </si>
  <si>
    <t>武器</t>
    <rPh sb="0" eb="2">
      <t>ブキ</t>
    </rPh>
    <phoneticPr fontId="1"/>
  </si>
  <si>
    <t>サブオプ</t>
    <phoneticPr fontId="1"/>
  </si>
  <si>
    <t>突破ボーナスCD</t>
    <rPh sb="0" eb="2">
      <t>トッパ</t>
    </rPh>
    <phoneticPr fontId="1"/>
  </si>
  <si>
    <t>メインオプCR</t>
    <phoneticPr fontId="1"/>
  </si>
  <si>
    <t>CD</t>
    <phoneticPr fontId="1"/>
  </si>
  <si>
    <t>ATK</t>
    <phoneticPr fontId="1"/>
  </si>
  <si>
    <t>総基礎攻撃力</t>
    <rPh sb="0" eb="1">
      <t>ソウ</t>
    </rPh>
    <rPh sb="1" eb="6">
      <t>キソコウゲキリョク</t>
    </rPh>
    <phoneticPr fontId="1"/>
  </si>
  <si>
    <t>ダメバフ</t>
    <phoneticPr fontId="1"/>
  </si>
  <si>
    <t>攻撃</t>
    <rPh sb="0" eb="2">
      <t>コウゲキ</t>
    </rPh>
    <phoneticPr fontId="1"/>
  </si>
  <si>
    <t>遺物</t>
    <rPh sb="0" eb="2">
      <t>イブツ</t>
    </rPh>
    <phoneticPr fontId="1"/>
  </si>
  <si>
    <t>時計(ATK)</t>
    <rPh sb="0" eb="2">
      <t>トケイ</t>
    </rPh>
    <phoneticPr fontId="1"/>
  </si>
  <si>
    <t>盃</t>
    <rPh sb="0" eb="1">
      <t>サカズキ</t>
    </rPh>
    <phoneticPr fontId="1"/>
  </si>
  <si>
    <t>EBUFF</t>
    <phoneticPr fontId="1"/>
  </si>
  <si>
    <t>冠(CR)</t>
    <rPh sb="0" eb="1">
      <t>カンムリ</t>
    </rPh>
    <phoneticPr fontId="1"/>
  </si>
  <si>
    <t>ATK%</t>
    <phoneticPr fontId="1"/>
  </si>
  <si>
    <t>CR%</t>
    <phoneticPr fontId="1"/>
  </si>
  <si>
    <t>CD%</t>
    <phoneticPr fontId="1"/>
  </si>
  <si>
    <t>BUFF%</t>
    <phoneticPr fontId="1"/>
  </si>
  <si>
    <t>kyoumei</t>
    <phoneticPr fontId="1"/>
  </si>
  <si>
    <t>CR</t>
    <phoneticPr fontId="1"/>
  </si>
  <si>
    <t>盃バフ</t>
    <rPh sb="0" eb="1">
      <t>サカズキ</t>
    </rPh>
    <phoneticPr fontId="1"/>
  </si>
  <si>
    <t>盃攻撃</t>
    <rPh sb="0" eb="1">
      <t>サカズキ</t>
    </rPh>
    <rPh sb="1" eb="3">
      <t>コウゲキ</t>
    </rPh>
    <phoneticPr fontId="1"/>
  </si>
  <si>
    <t>C2+C4</t>
    <phoneticPr fontId="1"/>
  </si>
  <si>
    <t>深廊</t>
    <rPh sb="0" eb="1">
      <t>フカシ</t>
    </rPh>
    <rPh sb="1" eb="2">
      <t>ロウ</t>
    </rPh>
    <phoneticPr fontId="1"/>
  </si>
  <si>
    <t>ファントム</t>
    <phoneticPr fontId="1"/>
  </si>
  <si>
    <t>会心スコア</t>
    <rPh sb="0" eb="2">
      <t>カイシン</t>
    </rPh>
    <phoneticPr fontId="1"/>
  </si>
  <si>
    <t>&gt;=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</si>
</sst>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9" formatCode="0.0%"/>
    <numFmt numFmtId="180" formatCode="0.000%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1"/>
      <color theme="1"/>
      <name val="游ゴシック"/>
      <family val="2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4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0" xfId="0" applyFont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2" xfId="0" applyFont="1" applyBorder="1">
      <alignment vertical="center"/>
    </xf>
    <xf numFmtId="0" fontId="4" fillId="2" borderId="1" xfId="0" applyFont="1" applyFill="1" applyBorder="1">
      <alignment vertical="center"/>
    </xf>
    <xf numFmtId="0" fontId="4" fillId="0" borderId="3" xfId="0" applyFont="1" applyBorder="1">
      <alignment vertical="center"/>
    </xf>
    <xf numFmtId="0" fontId="4" fillId="3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4" fillId="0" borderId="6" xfId="0" applyFont="1" applyBorder="1">
      <alignment vertical="center"/>
    </xf>
    <xf numFmtId="9" fontId="0" fillId="0" borderId="0" xfId="1" applyFont="1">
      <alignment vertical="center"/>
    </xf>
    <xf numFmtId="0" fontId="5" fillId="0" borderId="0" xfId="3">
      <alignment vertical="center"/>
    </xf>
    <xf numFmtId="0" fontId="0" fillId="0" borderId="6" xfId="0" applyBorder="1">
      <alignment vertical="center"/>
    </xf>
    <xf numFmtId="0" fontId="0" fillId="0" borderId="0" xfId="0" applyAlignment="1"/>
    <xf numFmtId="0" fontId="6" fillId="0" borderId="1" xfId="0" applyFont="1" applyBorder="1" applyAlignment="1">
      <alignment horizontal="center" vertical="top"/>
    </xf>
    <xf numFmtId="38" fontId="0" fillId="0" borderId="0" xfId="2" applyFont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179" fontId="0" fillId="0" borderId="0" xfId="1" applyNumberFormat="1" applyFon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9" fontId="0" fillId="0" borderId="0" xfId="0" applyNumberFormat="1">
      <alignment vertical="center"/>
    </xf>
  </cellXfs>
  <cellStyles count="4">
    <cellStyle name="パーセント" xfId="1" builtinId="5"/>
    <cellStyle name="ハイパーリンク" xfId="3" builtinId="8"/>
    <cellStyle name="桁区切り" xfId="2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dps (chiori:2500def</a:t>
            </a:r>
            <a:r>
              <a:rPr lang="en-US" altLang="ja-JP" baseline="0"/>
              <a:t>, emi esco:2500atk</a:t>
            </a:r>
            <a:r>
              <a:rPr lang="en-US" altLang="ja-JP"/>
              <a:t> 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'chiori emi'!$P$7</c:f>
              <c:strCache>
                <c:ptCount val="1"/>
                <c:pt idx="0">
                  <c:v>dps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'chiori emi'!$Q$6:$S$6</c:f>
              <c:strCache>
                <c:ptCount val="3"/>
                <c:pt idx="0">
                  <c:v>chiori</c:v>
                </c:pt>
                <c:pt idx="1">
                  <c:v>esco</c:v>
                </c:pt>
                <c:pt idx="2">
                  <c:v>emi</c:v>
                </c:pt>
              </c:strCache>
            </c:strRef>
          </c:cat>
          <c:val>
            <c:numRef>
              <c:f>'chiori emi'!$Q$7:$S$7</c:f>
              <c:numCache>
                <c:formatCode>General</c:formatCode>
                <c:ptCount val="3"/>
                <c:pt idx="0">
                  <c:v>5445.3703703703704</c:v>
                </c:pt>
                <c:pt idx="1">
                  <c:v>5541.71875</c:v>
                </c:pt>
                <c:pt idx="2">
                  <c:v>8090.8682634730521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F-4898-95DC-B4BFC7456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681760"/>
        <c:axId val="2001682240"/>
      </c:barChart>
      <c:catAx>
        <c:axId val="200168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1682240"/>
        <c:crosses val="autoZero"/>
        <c:auto val="1"/>
        <c:lblAlgn val="ctr"/>
        <c:lblOffset val="100"/>
        <c:noMultiLvlLbl val="0"/>
      </c:catAx>
      <c:valAx>
        <c:axId val="200168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168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Res Correction 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DAMAGEcal!$U$9</c:f>
              <c:strCache>
                <c:ptCount val="1"/>
                <c:pt idx="0">
                  <c:v>Correction 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DAMAGEcal!$T$10:$T$411</c:f>
              <c:numCache>
                <c:formatCode>General</c:formatCode>
                <c:ptCount val="402"/>
                <c:pt idx="0">
                  <c:v>-100</c:v>
                </c:pt>
                <c:pt idx="1">
                  <c:v>-99</c:v>
                </c:pt>
                <c:pt idx="2">
                  <c:v>-98</c:v>
                </c:pt>
                <c:pt idx="3">
                  <c:v>-97</c:v>
                </c:pt>
                <c:pt idx="4">
                  <c:v>-96</c:v>
                </c:pt>
                <c:pt idx="5">
                  <c:v>-95</c:v>
                </c:pt>
                <c:pt idx="6">
                  <c:v>-94</c:v>
                </c:pt>
                <c:pt idx="8">
                  <c:v>-93</c:v>
                </c:pt>
                <c:pt idx="9">
                  <c:v>-92</c:v>
                </c:pt>
                <c:pt idx="10">
                  <c:v>-91</c:v>
                </c:pt>
                <c:pt idx="11">
                  <c:v>-90</c:v>
                </c:pt>
                <c:pt idx="12">
                  <c:v>-89</c:v>
                </c:pt>
                <c:pt idx="13">
                  <c:v>-88</c:v>
                </c:pt>
                <c:pt idx="14">
                  <c:v>-87</c:v>
                </c:pt>
                <c:pt idx="15">
                  <c:v>-86</c:v>
                </c:pt>
                <c:pt idx="16">
                  <c:v>-85</c:v>
                </c:pt>
                <c:pt idx="17">
                  <c:v>-84</c:v>
                </c:pt>
                <c:pt idx="18">
                  <c:v>-83</c:v>
                </c:pt>
                <c:pt idx="19">
                  <c:v>-82</c:v>
                </c:pt>
                <c:pt idx="20">
                  <c:v>-81</c:v>
                </c:pt>
                <c:pt idx="21">
                  <c:v>-80</c:v>
                </c:pt>
                <c:pt idx="22">
                  <c:v>-79</c:v>
                </c:pt>
                <c:pt idx="23">
                  <c:v>-78</c:v>
                </c:pt>
                <c:pt idx="24">
                  <c:v>-77</c:v>
                </c:pt>
                <c:pt idx="25">
                  <c:v>-76</c:v>
                </c:pt>
                <c:pt idx="26">
                  <c:v>-75</c:v>
                </c:pt>
                <c:pt idx="27">
                  <c:v>-74</c:v>
                </c:pt>
                <c:pt idx="28">
                  <c:v>-73</c:v>
                </c:pt>
                <c:pt idx="29">
                  <c:v>-72</c:v>
                </c:pt>
                <c:pt idx="30">
                  <c:v>-71</c:v>
                </c:pt>
                <c:pt idx="31">
                  <c:v>-70</c:v>
                </c:pt>
                <c:pt idx="32">
                  <c:v>-69</c:v>
                </c:pt>
                <c:pt idx="33">
                  <c:v>-68</c:v>
                </c:pt>
                <c:pt idx="34">
                  <c:v>-67</c:v>
                </c:pt>
                <c:pt idx="35">
                  <c:v>-66</c:v>
                </c:pt>
                <c:pt idx="36">
                  <c:v>-65</c:v>
                </c:pt>
                <c:pt idx="37">
                  <c:v>-64</c:v>
                </c:pt>
                <c:pt idx="38">
                  <c:v>-63</c:v>
                </c:pt>
                <c:pt idx="39">
                  <c:v>-62</c:v>
                </c:pt>
                <c:pt idx="40">
                  <c:v>-61</c:v>
                </c:pt>
                <c:pt idx="41">
                  <c:v>-60</c:v>
                </c:pt>
                <c:pt idx="42">
                  <c:v>-59</c:v>
                </c:pt>
                <c:pt idx="43">
                  <c:v>-58</c:v>
                </c:pt>
                <c:pt idx="44">
                  <c:v>-57</c:v>
                </c:pt>
                <c:pt idx="45">
                  <c:v>-56</c:v>
                </c:pt>
                <c:pt idx="46">
                  <c:v>-55</c:v>
                </c:pt>
                <c:pt idx="47">
                  <c:v>-54</c:v>
                </c:pt>
                <c:pt idx="48">
                  <c:v>-53</c:v>
                </c:pt>
                <c:pt idx="49">
                  <c:v>-52</c:v>
                </c:pt>
                <c:pt idx="50">
                  <c:v>-51</c:v>
                </c:pt>
                <c:pt idx="51">
                  <c:v>-50</c:v>
                </c:pt>
                <c:pt idx="52">
                  <c:v>-49</c:v>
                </c:pt>
                <c:pt idx="53">
                  <c:v>-48</c:v>
                </c:pt>
                <c:pt idx="54">
                  <c:v>-47</c:v>
                </c:pt>
                <c:pt idx="55">
                  <c:v>-46</c:v>
                </c:pt>
                <c:pt idx="56">
                  <c:v>-45</c:v>
                </c:pt>
                <c:pt idx="57">
                  <c:v>-44</c:v>
                </c:pt>
                <c:pt idx="58">
                  <c:v>-43</c:v>
                </c:pt>
                <c:pt idx="59">
                  <c:v>-42</c:v>
                </c:pt>
                <c:pt idx="60">
                  <c:v>-41</c:v>
                </c:pt>
                <c:pt idx="61">
                  <c:v>-40</c:v>
                </c:pt>
                <c:pt idx="62">
                  <c:v>-39</c:v>
                </c:pt>
                <c:pt idx="63">
                  <c:v>-38</c:v>
                </c:pt>
                <c:pt idx="64">
                  <c:v>-37</c:v>
                </c:pt>
                <c:pt idx="65">
                  <c:v>-36</c:v>
                </c:pt>
                <c:pt idx="66">
                  <c:v>-35</c:v>
                </c:pt>
                <c:pt idx="67">
                  <c:v>-34</c:v>
                </c:pt>
                <c:pt idx="68">
                  <c:v>-33</c:v>
                </c:pt>
                <c:pt idx="69">
                  <c:v>-32</c:v>
                </c:pt>
                <c:pt idx="70">
                  <c:v>-31</c:v>
                </c:pt>
                <c:pt idx="71">
                  <c:v>-30</c:v>
                </c:pt>
                <c:pt idx="72">
                  <c:v>-29</c:v>
                </c:pt>
                <c:pt idx="73">
                  <c:v>-28</c:v>
                </c:pt>
                <c:pt idx="74">
                  <c:v>-27</c:v>
                </c:pt>
                <c:pt idx="75">
                  <c:v>-26</c:v>
                </c:pt>
                <c:pt idx="76">
                  <c:v>-25</c:v>
                </c:pt>
                <c:pt idx="77">
                  <c:v>-24</c:v>
                </c:pt>
                <c:pt idx="78">
                  <c:v>-23</c:v>
                </c:pt>
                <c:pt idx="79">
                  <c:v>-22</c:v>
                </c:pt>
                <c:pt idx="80">
                  <c:v>-21</c:v>
                </c:pt>
                <c:pt idx="81">
                  <c:v>-20</c:v>
                </c:pt>
                <c:pt idx="82">
                  <c:v>-19</c:v>
                </c:pt>
                <c:pt idx="83">
                  <c:v>-18</c:v>
                </c:pt>
                <c:pt idx="84">
                  <c:v>-17</c:v>
                </c:pt>
                <c:pt idx="85">
                  <c:v>-16</c:v>
                </c:pt>
                <c:pt idx="86">
                  <c:v>-15</c:v>
                </c:pt>
                <c:pt idx="87">
                  <c:v>-14</c:v>
                </c:pt>
                <c:pt idx="88">
                  <c:v>-13</c:v>
                </c:pt>
                <c:pt idx="89">
                  <c:v>-12</c:v>
                </c:pt>
                <c:pt idx="90">
                  <c:v>-11</c:v>
                </c:pt>
                <c:pt idx="91">
                  <c:v>-10</c:v>
                </c:pt>
                <c:pt idx="92">
                  <c:v>-9</c:v>
                </c:pt>
                <c:pt idx="93">
                  <c:v>-8</c:v>
                </c:pt>
                <c:pt idx="94">
                  <c:v>-7</c:v>
                </c:pt>
                <c:pt idx="95">
                  <c:v>-6</c:v>
                </c:pt>
                <c:pt idx="96">
                  <c:v>-5</c:v>
                </c:pt>
                <c:pt idx="97">
                  <c:v>-4</c:v>
                </c:pt>
                <c:pt idx="98">
                  <c:v>-3</c:v>
                </c:pt>
                <c:pt idx="99">
                  <c:v>-2</c:v>
                </c:pt>
                <c:pt idx="100">
                  <c:v>-1</c:v>
                </c:pt>
                <c:pt idx="101">
                  <c:v>0</c:v>
                </c:pt>
                <c:pt idx="102">
                  <c:v>1</c:v>
                </c:pt>
                <c:pt idx="103">
                  <c:v>2</c:v>
                </c:pt>
                <c:pt idx="104">
                  <c:v>3</c:v>
                </c:pt>
                <c:pt idx="105">
                  <c:v>4</c:v>
                </c:pt>
                <c:pt idx="106">
                  <c:v>5</c:v>
                </c:pt>
                <c:pt idx="107">
                  <c:v>6</c:v>
                </c:pt>
                <c:pt idx="108">
                  <c:v>7</c:v>
                </c:pt>
                <c:pt idx="109">
                  <c:v>8</c:v>
                </c:pt>
                <c:pt idx="110">
                  <c:v>9</c:v>
                </c:pt>
                <c:pt idx="111">
                  <c:v>10</c:v>
                </c:pt>
                <c:pt idx="112">
                  <c:v>11</c:v>
                </c:pt>
                <c:pt idx="113">
                  <c:v>12</c:v>
                </c:pt>
                <c:pt idx="114">
                  <c:v>13</c:v>
                </c:pt>
                <c:pt idx="115">
                  <c:v>14</c:v>
                </c:pt>
                <c:pt idx="116">
                  <c:v>15</c:v>
                </c:pt>
                <c:pt idx="117">
                  <c:v>16</c:v>
                </c:pt>
                <c:pt idx="118">
                  <c:v>17</c:v>
                </c:pt>
                <c:pt idx="119">
                  <c:v>18</c:v>
                </c:pt>
                <c:pt idx="120">
                  <c:v>19</c:v>
                </c:pt>
                <c:pt idx="121">
                  <c:v>20</c:v>
                </c:pt>
                <c:pt idx="122">
                  <c:v>21</c:v>
                </c:pt>
                <c:pt idx="123">
                  <c:v>22</c:v>
                </c:pt>
                <c:pt idx="124">
                  <c:v>23</c:v>
                </c:pt>
                <c:pt idx="125">
                  <c:v>24</c:v>
                </c:pt>
                <c:pt idx="126">
                  <c:v>25</c:v>
                </c:pt>
                <c:pt idx="127">
                  <c:v>26</c:v>
                </c:pt>
                <c:pt idx="128">
                  <c:v>27</c:v>
                </c:pt>
                <c:pt idx="129">
                  <c:v>28</c:v>
                </c:pt>
                <c:pt idx="130">
                  <c:v>29</c:v>
                </c:pt>
                <c:pt idx="131">
                  <c:v>30</c:v>
                </c:pt>
                <c:pt idx="132">
                  <c:v>31</c:v>
                </c:pt>
                <c:pt idx="133">
                  <c:v>32</c:v>
                </c:pt>
                <c:pt idx="134">
                  <c:v>33</c:v>
                </c:pt>
                <c:pt idx="135">
                  <c:v>34</c:v>
                </c:pt>
                <c:pt idx="136">
                  <c:v>35</c:v>
                </c:pt>
                <c:pt idx="137">
                  <c:v>36</c:v>
                </c:pt>
                <c:pt idx="138">
                  <c:v>37</c:v>
                </c:pt>
                <c:pt idx="139">
                  <c:v>38</c:v>
                </c:pt>
                <c:pt idx="140">
                  <c:v>39</c:v>
                </c:pt>
                <c:pt idx="141">
                  <c:v>40</c:v>
                </c:pt>
                <c:pt idx="142">
                  <c:v>41</c:v>
                </c:pt>
                <c:pt idx="143">
                  <c:v>42</c:v>
                </c:pt>
                <c:pt idx="144">
                  <c:v>43</c:v>
                </c:pt>
                <c:pt idx="145">
                  <c:v>44</c:v>
                </c:pt>
                <c:pt idx="146">
                  <c:v>45</c:v>
                </c:pt>
                <c:pt idx="147">
                  <c:v>46</c:v>
                </c:pt>
                <c:pt idx="148">
                  <c:v>47</c:v>
                </c:pt>
                <c:pt idx="149">
                  <c:v>48</c:v>
                </c:pt>
                <c:pt idx="150">
                  <c:v>49</c:v>
                </c:pt>
                <c:pt idx="151">
                  <c:v>50</c:v>
                </c:pt>
                <c:pt idx="152">
                  <c:v>51</c:v>
                </c:pt>
                <c:pt idx="153">
                  <c:v>52</c:v>
                </c:pt>
                <c:pt idx="154">
                  <c:v>53</c:v>
                </c:pt>
                <c:pt idx="155">
                  <c:v>54</c:v>
                </c:pt>
                <c:pt idx="156">
                  <c:v>55</c:v>
                </c:pt>
                <c:pt idx="157">
                  <c:v>56</c:v>
                </c:pt>
                <c:pt idx="158">
                  <c:v>57</c:v>
                </c:pt>
                <c:pt idx="159">
                  <c:v>58</c:v>
                </c:pt>
                <c:pt idx="160">
                  <c:v>59</c:v>
                </c:pt>
                <c:pt idx="161">
                  <c:v>60</c:v>
                </c:pt>
                <c:pt idx="162">
                  <c:v>61</c:v>
                </c:pt>
                <c:pt idx="163">
                  <c:v>62</c:v>
                </c:pt>
                <c:pt idx="164">
                  <c:v>63</c:v>
                </c:pt>
                <c:pt idx="165">
                  <c:v>64</c:v>
                </c:pt>
                <c:pt idx="166">
                  <c:v>65</c:v>
                </c:pt>
                <c:pt idx="167">
                  <c:v>66</c:v>
                </c:pt>
                <c:pt idx="168">
                  <c:v>67</c:v>
                </c:pt>
                <c:pt idx="169">
                  <c:v>68</c:v>
                </c:pt>
                <c:pt idx="170">
                  <c:v>69</c:v>
                </c:pt>
                <c:pt idx="171">
                  <c:v>70</c:v>
                </c:pt>
                <c:pt idx="172">
                  <c:v>71</c:v>
                </c:pt>
                <c:pt idx="173">
                  <c:v>72</c:v>
                </c:pt>
                <c:pt idx="174">
                  <c:v>73</c:v>
                </c:pt>
                <c:pt idx="175">
                  <c:v>74</c:v>
                </c:pt>
                <c:pt idx="176">
                  <c:v>75</c:v>
                </c:pt>
                <c:pt idx="177">
                  <c:v>76</c:v>
                </c:pt>
                <c:pt idx="178">
                  <c:v>77</c:v>
                </c:pt>
                <c:pt idx="179">
                  <c:v>78</c:v>
                </c:pt>
                <c:pt idx="180">
                  <c:v>79</c:v>
                </c:pt>
                <c:pt idx="181">
                  <c:v>80</c:v>
                </c:pt>
                <c:pt idx="182">
                  <c:v>81</c:v>
                </c:pt>
                <c:pt idx="183">
                  <c:v>82</c:v>
                </c:pt>
                <c:pt idx="184">
                  <c:v>83</c:v>
                </c:pt>
                <c:pt idx="185">
                  <c:v>84</c:v>
                </c:pt>
                <c:pt idx="186">
                  <c:v>85</c:v>
                </c:pt>
                <c:pt idx="187">
                  <c:v>86</c:v>
                </c:pt>
                <c:pt idx="188">
                  <c:v>87</c:v>
                </c:pt>
                <c:pt idx="189">
                  <c:v>88</c:v>
                </c:pt>
                <c:pt idx="190">
                  <c:v>89</c:v>
                </c:pt>
                <c:pt idx="191">
                  <c:v>90</c:v>
                </c:pt>
                <c:pt idx="192">
                  <c:v>91</c:v>
                </c:pt>
                <c:pt idx="193">
                  <c:v>92</c:v>
                </c:pt>
                <c:pt idx="194">
                  <c:v>93</c:v>
                </c:pt>
                <c:pt idx="195">
                  <c:v>94</c:v>
                </c:pt>
                <c:pt idx="196">
                  <c:v>95</c:v>
                </c:pt>
                <c:pt idx="197">
                  <c:v>96</c:v>
                </c:pt>
                <c:pt idx="198">
                  <c:v>97</c:v>
                </c:pt>
                <c:pt idx="199">
                  <c:v>98</c:v>
                </c:pt>
                <c:pt idx="200">
                  <c:v>99</c:v>
                </c:pt>
                <c:pt idx="201">
                  <c:v>100</c:v>
                </c:pt>
                <c:pt idx="202">
                  <c:v>101</c:v>
                </c:pt>
                <c:pt idx="203">
                  <c:v>102</c:v>
                </c:pt>
                <c:pt idx="204">
                  <c:v>103</c:v>
                </c:pt>
                <c:pt idx="205">
                  <c:v>104</c:v>
                </c:pt>
                <c:pt idx="206">
                  <c:v>105</c:v>
                </c:pt>
                <c:pt idx="207">
                  <c:v>106</c:v>
                </c:pt>
                <c:pt idx="208">
                  <c:v>107</c:v>
                </c:pt>
                <c:pt idx="209">
                  <c:v>108</c:v>
                </c:pt>
                <c:pt idx="210">
                  <c:v>109</c:v>
                </c:pt>
                <c:pt idx="211">
                  <c:v>110</c:v>
                </c:pt>
                <c:pt idx="212">
                  <c:v>111</c:v>
                </c:pt>
                <c:pt idx="213">
                  <c:v>112</c:v>
                </c:pt>
                <c:pt idx="214">
                  <c:v>113</c:v>
                </c:pt>
                <c:pt idx="215">
                  <c:v>114</c:v>
                </c:pt>
                <c:pt idx="216">
                  <c:v>115</c:v>
                </c:pt>
                <c:pt idx="217">
                  <c:v>116</c:v>
                </c:pt>
                <c:pt idx="218">
                  <c:v>117</c:v>
                </c:pt>
                <c:pt idx="219">
                  <c:v>118</c:v>
                </c:pt>
                <c:pt idx="220">
                  <c:v>119</c:v>
                </c:pt>
                <c:pt idx="221">
                  <c:v>120</c:v>
                </c:pt>
                <c:pt idx="222">
                  <c:v>121</c:v>
                </c:pt>
                <c:pt idx="223">
                  <c:v>122</c:v>
                </c:pt>
                <c:pt idx="224">
                  <c:v>123</c:v>
                </c:pt>
                <c:pt idx="225">
                  <c:v>124</c:v>
                </c:pt>
                <c:pt idx="226">
                  <c:v>125</c:v>
                </c:pt>
                <c:pt idx="227">
                  <c:v>126</c:v>
                </c:pt>
                <c:pt idx="228">
                  <c:v>127</c:v>
                </c:pt>
                <c:pt idx="229">
                  <c:v>128</c:v>
                </c:pt>
                <c:pt idx="230">
                  <c:v>129</c:v>
                </c:pt>
                <c:pt idx="231">
                  <c:v>130</c:v>
                </c:pt>
                <c:pt idx="232">
                  <c:v>131</c:v>
                </c:pt>
                <c:pt idx="233">
                  <c:v>132</c:v>
                </c:pt>
                <c:pt idx="234">
                  <c:v>133</c:v>
                </c:pt>
                <c:pt idx="235">
                  <c:v>134</c:v>
                </c:pt>
                <c:pt idx="236">
                  <c:v>135</c:v>
                </c:pt>
                <c:pt idx="237">
                  <c:v>136</c:v>
                </c:pt>
                <c:pt idx="238">
                  <c:v>137</c:v>
                </c:pt>
                <c:pt idx="239">
                  <c:v>138</c:v>
                </c:pt>
                <c:pt idx="240">
                  <c:v>139</c:v>
                </c:pt>
                <c:pt idx="241">
                  <c:v>140</c:v>
                </c:pt>
                <c:pt idx="242">
                  <c:v>141</c:v>
                </c:pt>
                <c:pt idx="243">
                  <c:v>142</c:v>
                </c:pt>
                <c:pt idx="244">
                  <c:v>143</c:v>
                </c:pt>
                <c:pt idx="245">
                  <c:v>144</c:v>
                </c:pt>
                <c:pt idx="246">
                  <c:v>145</c:v>
                </c:pt>
                <c:pt idx="247">
                  <c:v>146</c:v>
                </c:pt>
                <c:pt idx="248">
                  <c:v>147</c:v>
                </c:pt>
                <c:pt idx="249">
                  <c:v>148</c:v>
                </c:pt>
                <c:pt idx="250">
                  <c:v>149</c:v>
                </c:pt>
                <c:pt idx="251">
                  <c:v>150</c:v>
                </c:pt>
                <c:pt idx="252">
                  <c:v>151</c:v>
                </c:pt>
                <c:pt idx="253">
                  <c:v>152</c:v>
                </c:pt>
                <c:pt idx="254">
                  <c:v>153</c:v>
                </c:pt>
                <c:pt idx="255">
                  <c:v>154</c:v>
                </c:pt>
                <c:pt idx="256">
                  <c:v>155</c:v>
                </c:pt>
                <c:pt idx="257">
                  <c:v>156</c:v>
                </c:pt>
                <c:pt idx="258">
                  <c:v>157</c:v>
                </c:pt>
                <c:pt idx="259">
                  <c:v>158</c:v>
                </c:pt>
                <c:pt idx="260">
                  <c:v>159</c:v>
                </c:pt>
                <c:pt idx="261">
                  <c:v>160</c:v>
                </c:pt>
                <c:pt idx="262">
                  <c:v>161</c:v>
                </c:pt>
                <c:pt idx="263">
                  <c:v>162</c:v>
                </c:pt>
                <c:pt idx="264">
                  <c:v>163</c:v>
                </c:pt>
                <c:pt idx="265">
                  <c:v>164</c:v>
                </c:pt>
                <c:pt idx="266">
                  <c:v>165</c:v>
                </c:pt>
                <c:pt idx="267">
                  <c:v>166</c:v>
                </c:pt>
                <c:pt idx="268">
                  <c:v>167</c:v>
                </c:pt>
                <c:pt idx="269">
                  <c:v>168</c:v>
                </c:pt>
                <c:pt idx="270">
                  <c:v>169</c:v>
                </c:pt>
                <c:pt idx="271">
                  <c:v>170</c:v>
                </c:pt>
                <c:pt idx="272">
                  <c:v>171</c:v>
                </c:pt>
                <c:pt idx="273">
                  <c:v>172</c:v>
                </c:pt>
                <c:pt idx="274">
                  <c:v>173</c:v>
                </c:pt>
                <c:pt idx="275">
                  <c:v>174</c:v>
                </c:pt>
                <c:pt idx="276">
                  <c:v>175</c:v>
                </c:pt>
                <c:pt idx="277">
                  <c:v>176</c:v>
                </c:pt>
                <c:pt idx="278">
                  <c:v>177</c:v>
                </c:pt>
                <c:pt idx="279">
                  <c:v>178</c:v>
                </c:pt>
                <c:pt idx="280">
                  <c:v>179</c:v>
                </c:pt>
                <c:pt idx="281">
                  <c:v>180</c:v>
                </c:pt>
                <c:pt idx="282">
                  <c:v>181</c:v>
                </c:pt>
                <c:pt idx="283">
                  <c:v>182</c:v>
                </c:pt>
                <c:pt idx="284">
                  <c:v>183</c:v>
                </c:pt>
                <c:pt idx="285">
                  <c:v>184</c:v>
                </c:pt>
                <c:pt idx="286">
                  <c:v>185</c:v>
                </c:pt>
                <c:pt idx="287">
                  <c:v>186</c:v>
                </c:pt>
                <c:pt idx="288">
                  <c:v>187</c:v>
                </c:pt>
                <c:pt idx="289">
                  <c:v>188</c:v>
                </c:pt>
                <c:pt idx="290">
                  <c:v>189</c:v>
                </c:pt>
                <c:pt idx="291">
                  <c:v>190</c:v>
                </c:pt>
                <c:pt idx="292">
                  <c:v>191</c:v>
                </c:pt>
                <c:pt idx="293">
                  <c:v>192</c:v>
                </c:pt>
                <c:pt idx="294">
                  <c:v>193</c:v>
                </c:pt>
                <c:pt idx="295">
                  <c:v>194</c:v>
                </c:pt>
                <c:pt idx="296">
                  <c:v>195</c:v>
                </c:pt>
                <c:pt idx="297">
                  <c:v>196</c:v>
                </c:pt>
                <c:pt idx="298">
                  <c:v>197</c:v>
                </c:pt>
                <c:pt idx="299">
                  <c:v>198</c:v>
                </c:pt>
                <c:pt idx="300">
                  <c:v>199</c:v>
                </c:pt>
                <c:pt idx="301">
                  <c:v>200</c:v>
                </c:pt>
                <c:pt idx="302">
                  <c:v>201</c:v>
                </c:pt>
                <c:pt idx="303">
                  <c:v>202</c:v>
                </c:pt>
                <c:pt idx="304">
                  <c:v>203</c:v>
                </c:pt>
                <c:pt idx="305">
                  <c:v>204</c:v>
                </c:pt>
                <c:pt idx="306">
                  <c:v>205</c:v>
                </c:pt>
                <c:pt idx="307">
                  <c:v>206</c:v>
                </c:pt>
                <c:pt idx="308">
                  <c:v>207</c:v>
                </c:pt>
                <c:pt idx="309">
                  <c:v>208</c:v>
                </c:pt>
                <c:pt idx="310">
                  <c:v>209</c:v>
                </c:pt>
                <c:pt idx="311">
                  <c:v>210</c:v>
                </c:pt>
                <c:pt idx="312">
                  <c:v>211</c:v>
                </c:pt>
                <c:pt idx="313">
                  <c:v>212</c:v>
                </c:pt>
                <c:pt idx="314">
                  <c:v>213</c:v>
                </c:pt>
                <c:pt idx="315">
                  <c:v>214</c:v>
                </c:pt>
                <c:pt idx="316">
                  <c:v>215</c:v>
                </c:pt>
                <c:pt idx="317">
                  <c:v>216</c:v>
                </c:pt>
                <c:pt idx="318">
                  <c:v>217</c:v>
                </c:pt>
                <c:pt idx="319">
                  <c:v>218</c:v>
                </c:pt>
                <c:pt idx="320">
                  <c:v>219</c:v>
                </c:pt>
                <c:pt idx="321">
                  <c:v>220</c:v>
                </c:pt>
                <c:pt idx="322">
                  <c:v>221</c:v>
                </c:pt>
                <c:pt idx="323">
                  <c:v>222</c:v>
                </c:pt>
                <c:pt idx="324">
                  <c:v>223</c:v>
                </c:pt>
                <c:pt idx="325">
                  <c:v>224</c:v>
                </c:pt>
                <c:pt idx="326">
                  <c:v>225</c:v>
                </c:pt>
                <c:pt idx="327">
                  <c:v>226</c:v>
                </c:pt>
                <c:pt idx="328">
                  <c:v>227</c:v>
                </c:pt>
                <c:pt idx="329">
                  <c:v>228</c:v>
                </c:pt>
                <c:pt idx="330">
                  <c:v>229</c:v>
                </c:pt>
                <c:pt idx="331">
                  <c:v>230</c:v>
                </c:pt>
                <c:pt idx="332">
                  <c:v>231</c:v>
                </c:pt>
                <c:pt idx="333">
                  <c:v>232</c:v>
                </c:pt>
                <c:pt idx="334">
                  <c:v>233</c:v>
                </c:pt>
                <c:pt idx="335">
                  <c:v>234</c:v>
                </c:pt>
                <c:pt idx="336">
                  <c:v>235</c:v>
                </c:pt>
                <c:pt idx="337">
                  <c:v>236</c:v>
                </c:pt>
                <c:pt idx="338">
                  <c:v>237</c:v>
                </c:pt>
                <c:pt idx="339">
                  <c:v>238</c:v>
                </c:pt>
                <c:pt idx="340">
                  <c:v>239</c:v>
                </c:pt>
                <c:pt idx="341">
                  <c:v>240</c:v>
                </c:pt>
                <c:pt idx="342">
                  <c:v>241</c:v>
                </c:pt>
                <c:pt idx="343">
                  <c:v>242</c:v>
                </c:pt>
                <c:pt idx="344">
                  <c:v>243</c:v>
                </c:pt>
                <c:pt idx="345">
                  <c:v>244</c:v>
                </c:pt>
                <c:pt idx="346">
                  <c:v>245</c:v>
                </c:pt>
                <c:pt idx="347">
                  <c:v>246</c:v>
                </c:pt>
                <c:pt idx="348">
                  <c:v>247</c:v>
                </c:pt>
                <c:pt idx="349">
                  <c:v>248</c:v>
                </c:pt>
                <c:pt idx="350">
                  <c:v>249</c:v>
                </c:pt>
                <c:pt idx="351">
                  <c:v>250</c:v>
                </c:pt>
                <c:pt idx="352">
                  <c:v>251</c:v>
                </c:pt>
                <c:pt idx="353">
                  <c:v>252</c:v>
                </c:pt>
                <c:pt idx="354">
                  <c:v>253</c:v>
                </c:pt>
                <c:pt idx="355">
                  <c:v>254</c:v>
                </c:pt>
                <c:pt idx="356">
                  <c:v>255</c:v>
                </c:pt>
                <c:pt idx="357">
                  <c:v>256</c:v>
                </c:pt>
                <c:pt idx="358">
                  <c:v>257</c:v>
                </c:pt>
                <c:pt idx="359">
                  <c:v>258</c:v>
                </c:pt>
                <c:pt idx="360">
                  <c:v>259</c:v>
                </c:pt>
                <c:pt idx="361">
                  <c:v>260</c:v>
                </c:pt>
                <c:pt idx="362">
                  <c:v>261</c:v>
                </c:pt>
                <c:pt idx="363">
                  <c:v>262</c:v>
                </c:pt>
                <c:pt idx="364">
                  <c:v>263</c:v>
                </c:pt>
                <c:pt idx="365">
                  <c:v>264</c:v>
                </c:pt>
                <c:pt idx="366">
                  <c:v>265</c:v>
                </c:pt>
                <c:pt idx="367">
                  <c:v>266</c:v>
                </c:pt>
                <c:pt idx="368">
                  <c:v>267</c:v>
                </c:pt>
                <c:pt idx="369">
                  <c:v>268</c:v>
                </c:pt>
                <c:pt idx="370">
                  <c:v>269</c:v>
                </c:pt>
                <c:pt idx="371">
                  <c:v>270</c:v>
                </c:pt>
                <c:pt idx="372">
                  <c:v>271</c:v>
                </c:pt>
                <c:pt idx="373">
                  <c:v>272</c:v>
                </c:pt>
                <c:pt idx="374">
                  <c:v>273</c:v>
                </c:pt>
                <c:pt idx="375">
                  <c:v>274</c:v>
                </c:pt>
                <c:pt idx="376">
                  <c:v>275</c:v>
                </c:pt>
                <c:pt idx="377">
                  <c:v>276</c:v>
                </c:pt>
                <c:pt idx="378">
                  <c:v>277</c:v>
                </c:pt>
                <c:pt idx="379">
                  <c:v>278</c:v>
                </c:pt>
                <c:pt idx="380">
                  <c:v>279</c:v>
                </c:pt>
                <c:pt idx="381">
                  <c:v>280</c:v>
                </c:pt>
                <c:pt idx="382">
                  <c:v>281</c:v>
                </c:pt>
                <c:pt idx="383">
                  <c:v>282</c:v>
                </c:pt>
                <c:pt idx="384">
                  <c:v>283</c:v>
                </c:pt>
                <c:pt idx="385">
                  <c:v>284</c:v>
                </c:pt>
                <c:pt idx="386">
                  <c:v>285</c:v>
                </c:pt>
                <c:pt idx="387">
                  <c:v>286</c:v>
                </c:pt>
                <c:pt idx="388">
                  <c:v>287</c:v>
                </c:pt>
                <c:pt idx="389">
                  <c:v>288</c:v>
                </c:pt>
                <c:pt idx="390">
                  <c:v>289</c:v>
                </c:pt>
                <c:pt idx="391">
                  <c:v>290</c:v>
                </c:pt>
                <c:pt idx="392">
                  <c:v>291</c:v>
                </c:pt>
                <c:pt idx="393">
                  <c:v>292</c:v>
                </c:pt>
                <c:pt idx="394">
                  <c:v>293</c:v>
                </c:pt>
                <c:pt idx="395">
                  <c:v>294</c:v>
                </c:pt>
                <c:pt idx="396">
                  <c:v>295</c:v>
                </c:pt>
                <c:pt idx="397">
                  <c:v>296</c:v>
                </c:pt>
                <c:pt idx="398">
                  <c:v>297</c:v>
                </c:pt>
                <c:pt idx="399">
                  <c:v>298</c:v>
                </c:pt>
                <c:pt idx="400">
                  <c:v>299</c:v>
                </c:pt>
                <c:pt idx="401">
                  <c:v>300</c:v>
                </c:pt>
              </c:numCache>
            </c:numRef>
          </c:xVal>
          <c:yVal>
            <c:numRef>
              <c:f>DAMAGEcal!$U$10:$U$411</c:f>
              <c:numCache>
                <c:formatCode>General</c:formatCode>
                <c:ptCount val="402"/>
                <c:pt idx="0">
                  <c:v>1.5</c:v>
                </c:pt>
                <c:pt idx="1">
                  <c:v>1.4950000000000001</c:v>
                </c:pt>
                <c:pt idx="2">
                  <c:v>1.49</c:v>
                </c:pt>
                <c:pt idx="3">
                  <c:v>1.4850000000000001</c:v>
                </c:pt>
                <c:pt idx="4">
                  <c:v>1.48</c:v>
                </c:pt>
                <c:pt idx="5">
                  <c:v>1.4750000000000001</c:v>
                </c:pt>
                <c:pt idx="6">
                  <c:v>1.47</c:v>
                </c:pt>
                <c:pt idx="8">
                  <c:v>1.4650000000000001</c:v>
                </c:pt>
                <c:pt idx="9">
                  <c:v>1.46</c:v>
                </c:pt>
                <c:pt idx="10">
                  <c:v>1.4550000000000001</c:v>
                </c:pt>
                <c:pt idx="11">
                  <c:v>1.45</c:v>
                </c:pt>
                <c:pt idx="12">
                  <c:v>1.4450000000000001</c:v>
                </c:pt>
                <c:pt idx="13">
                  <c:v>1.44</c:v>
                </c:pt>
                <c:pt idx="14">
                  <c:v>1.4350000000000001</c:v>
                </c:pt>
                <c:pt idx="15">
                  <c:v>1.43</c:v>
                </c:pt>
                <c:pt idx="16">
                  <c:v>1.425</c:v>
                </c:pt>
                <c:pt idx="17">
                  <c:v>1.42</c:v>
                </c:pt>
                <c:pt idx="18">
                  <c:v>1.415</c:v>
                </c:pt>
                <c:pt idx="19">
                  <c:v>1.41</c:v>
                </c:pt>
                <c:pt idx="20">
                  <c:v>1.405</c:v>
                </c:pt>
                <c:pt idx="21">
                  <c:v>1.4</c:v>
                </c:pt>
                <c:pt idx="22">
                  <c:v>1.395</c:v>
                </c:pt>
                <c:pt idx="23">
                  <c:v>1.39</c:v>
                </c:pt>
                <c:pt idx="24">
                  <c:v>1.385</c:v>
                </c:pt>
                <c:pt idx="25">
                  <c:v>1.38</c:v>
                </c:pt>
                <c:pt idx="26">
                  <c:v>1.375</c:v>
                </c:pt>
                <c:pt idx="27">
                  <c:v>1.37</c:v>
                </c:pt>
                <c:pt idx="28">
                  <c:v>1.365</c:v>
                </c:pt>
                <c:pt idx="29">
                  <c:v>1.36</c:v>
                </c:pt>
                <c:pt idx="30">
                  <c:v>1.355</c:v>
                </c:pt>
                <c:pt idx="31">
                  <c:v>1.35</c:v>
                </c:pt>
                <c:pt idx="32">
                  <c:v>1.345</c:v>
                </c:pt>
                <c:pt idx="33">
                  <c:v>1.34</c:v>
                </c:pt>
                <c:pt idx="34">
                  <c:v>1.335</c:v>
                </c:pt>
                <c:pt idx="35">
                  <c:v>1.33</c:v>
                </c:pt>
                <c:pt idx="36">
                  <c:v>1.325</c:v>
                </c:pt>
                <c:pt idx="37">
                  <c:v>1.32</c:v>
                </c:pt>
                <c:pt idx="38">
                  <c:v>1.3149999999999999</c:v>
                </c:pt>
                <c:pt idx="39">
                  <c:v>1.31</c:v>
                </c:pt>
                <c:pt idx="40">
                  <c:v>1.3049999999999999</c:v>
                </c:pt>
                <c:pt idx="41">
                  <c:v>1.3</c:v>
                </c:pt>
                <c:pt idx="42">
                  <c:v>1.2949999999999999</c:v>
                </c:pt>
                <c:pt idx="43">
                  <c:v>1.29</c:v>
                </c:pt>
                <c:pt idx="44">
                  <c:v>1.2849999999999999</c:v>
                </c:pt>
                <c:pt idx="45">
                  <c:v>1.28</c:v>
                </c:pt>
                <c:pt idx="46">
                  <c:v>1.2749999999999999</c:v>
                </c:pt>
                <c:pt idx="47">
                  <c:v>1.27</c:v>
                </c:pt>
                <c:pt idx="48">
                  <c:v>1.2649999999999999</c:v>
                </c:pt>
                <c:pt idx="49">
                  <c:v>1.26</c:v>
                </c:pt>
                <c:pt idx="50">
                  <c:v>1.2549999999999999</c:v>
                </c:pt>
                <c:pt idx="51">
                  <c:v>1.25</c:v>
                </c:pt>
                <c:pt idx="52">
                  <c:v>1.2450000000000001</c:v>
                </c:pt>
                <c:pt idx="53">
                  <c:v>1.24</c:v>
                </c:pt>
                <c:pt idx="54">
                  <c:v>1.2350000000000001</c:v>
                </c:pt>
                <c:pt idx="55">
                  <c:v>1.23</c:v>
                </c:pt>
                <c:pt idx="56">
                  <c:v>1.2250000000000001</c:v>
                </c:pt>
                <c:pt idx="57">
                  <c:v>1.22</c:v>
                </c:pt>
                <c:pt idx="58">
                  <c:v>1.2150000000000001</c:v>
                </c:pt>
                <c:pt idx="59">
                  <c:v>1.21</c:v>
                </c:pt>
                <c:pt idx="60">
                  <c:v>1.2050000000000001</c:v>
                </c:pt>
                <c:pt idx="61">
                  <c:v>1.2</c:v>
                </c:pt>
                <c:pt idx="62">
                  <c:v>1.1950000000000001</c:v>
                </c:pt>
                <c:pt idx="63">
                  <c:v>1.19</c:v>
                </c:pt>
                <c:pt idx="64">
                  <c:v>1.1850000000000001</c:v>
                </c:pt>
                <c:pt idx="65">
                  <c:v>1.18</c:v>
                </c:pt>
                <c:pt idx="66">
                  <c:v>1.175</c:v>
                </c:pt>
                <c:pt idx="67">
                  <c:v>1.17</c:v>
                </c:pt>
                <c:pt idx="68">
                  <c:v>1.165</c:v>
                </c:pt>
                <c:pt idx="69">
                  <c:v>1.1599999999999999</c:v>
                </c:pt>
                <c:pt idx="70">
                  <c:v>1.155</c:v>
                </c:pt>
                <c:pt idx="71">
                  <c:v>1.1499999999999999</c:v>
                </c:pt>
                <c:pt idx="72">
                  <c:v>1.145</c:v>
                </c:pt>
                <c:pt idx="73">
                  <c:v>1.1399999999999999</c:v>
                </c:pt>
                <c:pt idx="74">
                  <c:v>1.135</c:v>
                </c:pt>
                <c:pt idx="75">
                  <c:v>1.1299999999999999</c:v>
                </c:pt>
                <c:pt idx="76">
                  <c:v>1.125</c:v>
                </c:pt>
                <c:pt idx="77">
                  <c:v>1.1200000000000001</c:v>
                </c:pt>
                <c:pt idx="78">
                  <c:v>1.115</c:v>
                </c:pt>
                <c:pt idx="79">
                  <c:v>1.1100000000000001</c:v>
                </c:pt>
                <c:pt idx="80">
                  <c:v>1.105</c:v>
                </c:pt>
                <c:pt idx="81">
                  <c:v>1.1000000000000001</c:v>
                </c:pt>
                <c:pt idx="82">
                  <c:v>1.095</c:v>
                </c:pt>
                <c:pt idx="83">
                  <c:v>1.0900000000000001</c:v>
                </c:pt>
                <c:pt idx="84">
                  <c:v>1.085</c:v>
                </c:pt>
                <c:pt idx="85">
                  <c:v>1.08</c:v>
                </c:pt>
                <c:pt idx="86">
                  <c:v>1.075</c:v>
                </c:pt>
                <c:pt idx="87">
                  <c:v>1.07</c:v>
                </c:pt>
                <c:pt idx="88">
                  <c:v>1.0649999999999999</c:v>
                </c:pt>
                <c:pt idx="89">
                  <c:v>1.06</c:v>
                </c:pt>
                <c:pt idx="90">
                  <c:v>1.0549999999999999</c:v>
                </c:pt>
                <c:pt idx="91">
                  <c:v>1.05</c:v>
                </c:pt>
                <c:pt idx="92">
                  <c:v>1.0449999999999999</c:v>
                </c:pt>
                <c:pt idx="93">
                  <c:v>1.04</c:v>
                </c:pt>
                <c:pt idx="94">
                  <c:v>1.0349999999999999</c:v>
                </c:pt>
                <c:pt idx="95">
                  <c:v>1.03</c:v>
                </c:pt>
                <c:pt idx="96">
                  <c:v>1.0249999999999999</c:v>
                </c:pt>
                <c:pt idx="97">
                  <c:v>1.02</c:v>
                </c:pt>
                <c:pt idx="98">
                  <c:v>1.0149999999999999</c:v>
                </c:pt>
                <c:pt idx="99">
                  <c:v>1.01</c:v>
                </c:pt>
                <c:pt idx="100">
                  <c:v>1.0049999999999999</c:v>
                </c:pt>
                <c:pt idx="101">
                  <c:v>1</c:v>
                </c:pt>
                <c:pt idx="102">
                  <c:v>0.99</c:v>
                </c:pt>
                <c:pt idx="103">
                  <c:v>0.98</c:v>
                </c:pt>
                <c:pt idx="104">
                  <c:v>0.97</c:v>
                </c:pt>
                <c:pt idx="105">
                  <c:v>0.96</c:v>
                </c:pt>
                <c:pt idx="106">
                  <c:v>0.95</c:v>
                </c:pt>
                <c:pt idx="107">
                  <c:v>0.94</c:v>
                </c:pt>
                <c:pt idx="108">
                  <c:v>0.92999999999999994</c:v>
                </c:pt>
                <c:pt idx="109">
                  <c:v>0.92</c:v>
                </c:pt>
                <c:pt idx="110">
                  <c:v>0.91</c:v>
                </c:pt>
                <c:pt idx="111">
                  <c:v>0.9</c:v>
                </c:pt>
                <c:pt idx="112">
                  <c:v>0.89</c:v>
                </c:pt>
                <c:pt idx="113">
                  <c:v>0.88</c:v>
                </c:pt>
                <c:pt idx="114">
                  <c:v>0.87</c:v>
                </c:pt>
                <c:pt idx="115">
                  <c:v>0.86</c:v>
                </c:pt>
                <c:pt idx="116">
                  <c:v>0.85</c:v>
                </c:pt>
                <c:pt idx="117">
                  <c:v>0.84</c:v>
                </c:pt>
                <c:pt idx="118">
                  <c:v>0.83</c:v>
                </c:pt>
                <c:pt idx="119">
                  <c:v>0.82000000000000006</c:v>
                </c:pt>
                <c:pt idx="120">
                  <c:v>0.81</c:v>
                </c:pt>
                <c:pt idx="121">
                  <c:v>0.8</c:v>
                </c:pt>
                <c:pt idx="122">
                  <c:v>0.79</c:v>
                </c:pt>
                <c:pt idx="123">
                  <c:v>0.78</c:v>
                </c:pt>
                <c:pt idx="124">
                  <c:v>0.77</c:v>
                </c:pt>
                <c:pt idx="125">
                  <c:v>0.76</c:v>
                </c:pt>
                <c:pt idx="126">
                  <c:v>0.75</c:v>
                </c:pt>
                <c:pt idx="127">
                  <c:v>0.74</c:v>
                </c:pt>
                <c:pt idx="128">
                  <c:v>0.73</c:v>
                </c:pt>
                <c:pt idx="129">
                  <c:v>0.72</c:v>
                </c:pt>
                <c:pt idx="130">
                  <c:v>0.71</c:v>
                </c:pt>
                <c:pt idx="131">
                  <c:v>0.7</c:v>
                </c:pt>
                <c:pt idx="132">
                  <c:v>0.69</c:v>
                </c:pt>
                <c:pt idx="133">
                  <c:v>0.67999999999999994</c:v>
                </c:pt>
                <c:pt idx="134">
                  <c:v>0.66999999999999993</c:v>
                </c:pt>
                <c:pt idx="135">
                  <c:v>0.65999999999999992</c:v>
                </c:pt>
                <c:pt idx="136">
                  <c:v>0.65</c:v>
                </c:pt>
                <c:pt idx="137">
                  <c:v>0.64</c:v>
                </c:pt>
                <c:pt idx="138">
                  <c:v>0.63</c:v>
                </c:pt>
                <c:pt idx="139">
                  <c:v>0.62</c:v>
                </c:pt>
                <c:pt idx="140">
                  <c:v>0.61</c:v>
                </c:pt>
                <c:pt idx="141">
                  <c:v>0.6</c:v>
                </c:pt>
                <c:pt idx="142">
                  <c:v>0.59000000000000008</c:v>
                </c:pt>
                <c:pt idx="143">
                  <c:v>0.58000000000000007</c:v>
                </c:pt>
                <c:pt idx="144">
                  <c:v>0.57000000000000006</c:v>
                </c:pt>
                <c:pt idx="145">
                  <c:v>0.56000000000000005</c:v>
                </c:pt>
                <c:pt idx="146">
                  <c:v>0.55000000000000004</c:v>
                </c:pt>
                <c:pt idx="147">
                  <c:v>0.54</c:v>
                </c:pt>
                <c:pt idx="148">
                  <c:v>0.53</c:v>
                </c:pt>
                <c:pt idx="149">
                  <c:v>0.52</c:v>
                </c:pt>
                <c:pt idx="150">
                  <c:v>0.51</c:v>
                </c:pt>
                <c:pt idx="151">
                  <c:v>0.5</c:v>
                </c:pt>
                <c:pt idx="152">
                  <c:v>0.49</c:v>
                </c:pt>
                <c:pt idx="153">
                  <c:v>0.48</c:v>
                </c:pt>
                <c:pt idx="154">
                  <c:v>0.47</c:v>
                </c:pt>
                <c:pt idx="155">
                  <c:v>0.46</c:v>
                </c:pt>
                <c:pt idx="156">
                  <c:v>0.45</c:v>
                </c:pt>
                <c:pt idx="157">
                  <c:v>0.43999999999999989</c:v>
                </c:pt>
                <c:pt idx="158">
                  <c:v>0.43</c:v>
                </c:pt>
                <c:pt idx="159">
                  <c:v>0.42</c:v>
                </c:pt>
                <c:pt idx="160">
                  <c:v>0.41</c:v>
                </c:pt>
                <c:pt idx="161">
                  <c:v>0.4</c:v>
                </c:pt>
                <c:pt idx="162">
                  <c:v>0.39</c:v>
                </c:pt>
                <c:pt idx="163">
                  <c:v>0.38</c:v>
                </c:pt>
                <c:pt idx="164">
                  <c:v>0.37</c:v>
                </c:pt>
                <c:pt idx="165">
                  <c:v>0.36</c:v>
                </c:pt>
                <c:pt idx="166">
                  <c:v>0.35</c:v>
                </c:pt>
                <c:pt idx="167">
                  <c:v>0.34</c:v>
                </c:pt>
                <c:pt idx="168">
                  <c:v>0.33</c:v>
                </c:pt>
                <c:pt idx="169">
                  <c:v>0.32</c:v>
                </c:pt>
                <c:pt idx="170">
                  <c:v>0.31000000000000011</c:v>
                </c:pt>
                <c:pt idx="171">
                  <c:v>0.3</c:v>
                </c:pt>
                <c:pt idx="172">
                  <c:v>0.28999999999999998</c:v>
                </c:pt>
                <c:pt idx="173">
                  <c:v>0.28000000000000003</c:v>
                </c:pt>
                <c:pt idx="174">
                  <c:v>0.27</c:v>
                </c:pt>
                <c:pt idx="175">
                  <c:v>0.26</c:v>
                </c:pt>
                <c:pt idx="176">
                  <c:v>0.25</c:v>
                </c:pt>
                <c:pt idx="177">
                  <c:v>0.24752475247524749</c:v>
                </c:pt>
                <c:pt idx="178">
                  <c:v>0.24509803921568629</c:v>
                </c:pt>
                <c:pt idx="179">
                  <c:v>0.24271844660194181</c:v>
                </c:pt>
                <c:pt idx="180">
                  <c:v>0.24038461538461539</c:v>
                </c:pt>
                <c:pt idx="181">
                  <c:v>0.23809523809523811</c:v>
                </c:pt>
                <c:pt idx="182">
                  <c:v>0.23584905660377359</c:v>
                </c:pt>
                <c:pt idx="183">
                  <c:v>0.23364485981308411</c:v>
                </c:pt>
                <c:pt idx="184">
                  <c:v>0.23148148148148151</c:v>
                </c:pt>
                <c:pt idx="185">
                  <c:v>0.22935779816513771</c:v>
                </c:pt>
                <c:pt idx="186">
                  <c:v>0.22727272727272729</c:v>
                </c:pt>
                <c:pt idx="187">
                  <c:v>0.22522522522522531</c:v>
                </c:pt>
                <c:pt idx="188">
                  <c:v>0.2232142857142857</c:v>
                </c:pt>
                <c:pt idx="189">
                  <c:v>0.22123893805309741</c:v>
                </c:pt>
                <c:pt idx="190">
                  <c:v>0.2192982456140351</c:v>
                </c:pt>
                <c:pt idx="191">
                  <c:v>0.21739130434782611</c:v>
                </c:pt>
                <c:pt idx="192">
                  <c:v>0.2155172413793103</c:v>
                </c:pt>
                <c:pt idx="193">
                  <c:v>0.21367521367521369</c:v>
                </c:pt>
                <c:pt idx="194">
                  <c:v>0.21186440677966101</c:v>
                </c:pt>
                <c:pt idx="195">
                  <c:v>0.21008403361344541</c:v>
                </c:pt>
                <c:pt idx="196">
                  <c:v>0.20833333333333329</c:v>
                </c:pt>
                <c:pt idx="197">
                  <c:v>0.20661157024793389</c:v>
                </c:pt>
                <c:pt idx="198">
                  <c:v>0.20491803278688531</c:v>
                </c:pt>
                <c:pt idx="199">
                  <c:v>0.2032520325203252</c:v>
                </c:pt>
                <c:pt idx="200">
                  <c:v>0.20161290322580649</c:v>
                </c:pt>
                <c:pt idx="201">
                  <c:v>0.2</c:v>
                </c:pt>
                <c:pt idx="202">
                  <c:v>0.1984126984126984</c:v>
                </c:pt>
                <c:pt idx="203">
                  <c:v>0.19685039370078741</c:v>
                </c:pt>
                <c:pt idx="204">
                  <c:v>0.1953125</c:v>
                </c:pt>
                <c:pt idx="205">
                  <c:v>0.19379844961240311</c:v>
                </c:pt>
                <c:pt idx="206">
                  <c:v>0.19230769230769229</c:v>
                </c:pt>
                <c:pt idx="207">
                  <c:v>0.19083969465648851</c:v>
                </c:pt>
                <c:pt idx="208">
                  <c:v>0.18939393939393939</c:v>
                </c:pt>
                <c:pt idx="209">
                  <c:v>0.18796992481203009</c:v>
                </c:pt>
                <c:pt idx="210">
                  <c:v>0.18656716417910449</c:v>
                </c:pt>
                <c:pt idx="211">
                  <c:v>0.1851851851851852</c:v>
                </c:pt>
                <c:pt idx="212">
                  <c:v>0.18382352941176469</c:v>
                </c:pt>
                <c:pt idx="213">
                  <c:v>0.18248175182481749</c:v>
                </c:pt>
                <c:pt idx="214">
                  <c:v>0.1811594202898551</c:v>
                </c:pt>
                <c:pt idx="215">
                  <c:v>0.17985611510791369</c:v>
                </c:pt>
                <c:pt idx="216">
                  <c:v>0.1785714285714286</c:v>
                </c:pt>
                <c:pt idx="217">
                  <c:v>0.1773049645390071</c:v>
                </c:pt>
                <c:pt idx="218">
                  <c:v>0.176056338028169</c:v>
                </c:pt>
                <c:pt idx="219">
                  <c:v>0.17482517482517479</c:v>
                </c:pt>
                <c:pt idx="220">
                  <c:v>0.1736111111111111</c:v>
                </c:pt>
                <c:pt idx="221">
                  <c:v>0.17241379310344829</c:v>
                </c:pt>
                <c:pt idx="222">
                  <c:v>0.17123287671232881</c:v>
                </c:pt>
                <c:pt idx="223">
                  <c:v>0.17006802721088429</c:v>
                </c:pt>
                <c:pt idx="224">
                  <c:v>0.16891891891891889</c:v>
                </c:pt>
                <c:pt idx="225">
                  <c:v>0.16778523489932889</c:v>
                </c:pt>
                <c:pt idx="226">
                  <c:v>0.16666666666666671</c:v>
                </c:pt>
                <c:pt idx="227">
                  <c:v>0.16556291390728481</c:v>
                </c:pt>
                <c:pt idx="228">
                  <c:v>0.1644736842105263</c:v>
                </c:pt>
                <c:pt idx="229">
                  <c:v>0.16339869281045749</c:v>
                </c:pt>
                <c:pt idx="230">
                  <c:v>0.16233766233766231</c:v>
                </c:pt>
                <c:pt idx="231">
                  <c:v>0.16129032258064521</c:v>
                </c:pt>
                <c:pt idx="232">
                  <c:v>0.16025641025641019</c:v>
                </c:pt>
                <c:pt idx="233">
                  <c:v>0.15923566878980891</c:v>
                </c:pt>
                <c:pt idx="234">
                  <c:v>0.15822784810126581</c:v>
                </c:pt>
                <c:pt idx="235">
                  <c:v>0.15723270440251569</c:v>
                </c:pt>
                <c:pt idx="236">
                  <c:v>0.15625</c:v>
                </c:pt>
                <c:pt idx="237">
                  <c:v>0.15527950310558999</c:v>
                </c:pt>
                <c:pt idx="238">
                  <c:v>0.15432098765432101</c:v>
                </c:pt>
                <c:pt idx="239">
                  <c:v>0.15337423312883439</c:v>
                </c:pt>
                <c:pt idx="240">
                  <c:v>0.1524390243902439</c:v>
                </c:pt>
                <c:pt idx="241">
                  <c:v>0.15151515151515149</c:v>
                </c:pt>
                <c:pt idx="242">
                  <c:v>0.1506024096385542</c:v>
                </c:pt>
                <c:pt idx="243">
                  <c:v>0.1497005988023952</c:v>
                </c:pt>
                <c:pt idx="244">
                  <c:v>0.14880952380952381</c:v>
                </c:pt>
                <c:pt idx="245">
                  <c:v>0.14792899408284019</c:v>
                </c:pt>
                <c:pt idx="246">
                  <c:v>0.1470588235294118</c:v>
                </c:pt>
                <c:pt idx="247">
                  <c:v>0.14619883040935669</c:v>
                </c:pt>
                <c:pt idx="248">
                  <c:v>0.14534883720930231</c:v>
                </c:pt>
                <c:pt idx="249">
                  <c:v>0.1445086705202312</c:v>
                </c:pt>
                <c:pt idx="250">
                  <c:v>0.14367816091954019</c:v>
                </c:pt>
                <c:pt idx="251">
                  <c:v>0.14285714285714279</c:v>
                </c:pt>
                <c:pt idx="252">
                  <c:v>0.14204545454545461</c:v>
                </c:pt>
                <c:pt idx="253">
                  <c:v>0.14124293785310729</c:v>
                </c:pt>
                <c:pt idx="254">
                  <c:v>0.1404494382022472</c:v>
                </c:pt>
                <c:pt idx="255">
                  <c:v>0.13966480446927371</c:v>
                </c:pt>
                <c:pt idx="256">
                  <c:v>0.1388888888888889</c:v>
                </c:pt>
                <c:pt idx="257">
                  <c:v>0.138121546961326</c:v>
                </c:pt>
                <c:pt idx="258">
                  <c:v>0.13736263736263729</c:v>
                </c:pt>
                <c:pt idx="259">
                  <c:v>0.13661202185792351</c:v>
                </c:pt>
                <c:pt idx="260">
                  <c:v>0.1358695652173913</c:v>
                </c:pt>
                <c:pt idx="261">
                  <c:v>0.13513513513513509</c:v>
                </c:pt>
                <c:pt idx="262">
                  <c:v>0.1344086021505376</c:v>
                </c:pt>
                <c:pt idx="263">
                  <c:v>0.13368983957219249</c:v>
                </c:pt>
                <c:pt idx="264">
                  <c:v>0.13297872340425529</c:v>
                </c:pt>
                <c:pt idx="265">
                  <c:v>0.1322751322751323</c:v>
                </c:pt>
                <c:pt idx="266">
                  <c:v>0.13157894736842099</c:v>
                </c:pt>
                <c:pt idx="267">
                  <c:v>0.13089005235602089</c:v>
                </c:pt>
                <c:pt idx="268">
                  <c:v>0.13020833333333329</c:v>
                </c:pt>
                <c:pt idx="269">
                  <c:v>0.1295336787564767</c:v>
                </c:pt>
                <c:pt idx="270">
                  <c:v>0.12886597938144331</c:v>
                </c:pt>
                <c:pt idx="271">
                  <c:v>0.12820512820512819</c:v>
                </c:pt>
                <c:pt idx="272">
                  <c:v>0.1275510204081633</c:v>
                </c:pt>
                <c:pt idx="273">
                  <c:v>0.12690355329949241</c:v>
                </c:pt>
                <c:pt idx="274">
                  <c:v>0.1262626262626263</c:v>
                </c:pt>
                <c:pt idx="275">
                  <c:v>0.1256281407035176</c:v>
                </c:pt>
                <c:pt idx="276">
                  <c:v>0.125</c:v>
                </c:pt>
                <c:pt idx="277">
                  <c:v>0.12437810945273629</c:v>
                </c:pt>
                <c:pt idx="278">
                  <c:v>0.1237623762376238</c:v>
                </c:pt>
                <c:pt idx="279">
                  <c:v>0.1231527093596059</c:v>
                </c:pt>
                <c:pt idx="280">
                  <c:v>0.1225490196078431</c:v>
                </c:pt>
                <c:pt idx="281">
                  <c:v>0.12195121951219511</c:v>
                </c:pt>
                <c:pt idx="282">
                  <c:v>0.1213592233009709</c:v>
                </c:pt>
                <c:pt idx="283">
                  <c:v>0.1207729468599034</c:v>
                </c:pt>
                <c:pt idx="284">
                  <c:v>0.1201923076923077</c:v>
                </c:pt>
                <c:pt idx="285">
                  <c:v>0.1196172248803828</c:v>
                </c:pt>
                <c:pt idx="286">
                  <c:v>0.119047619047619</c:v>
                </c:pt>
                <c:pt idx="287">
                  <c:v>0.1184834123222749</c:v>
                </c:pt>
                <c:pt idx="288">
                  <c:v>0.11792452830188679</c:v>
                </c:pt>
                <c:pt idx="289">
                  <c:v>0.1173708920187793</c:v>
                </c:pt>
                <c:pt idx="290">
                  <c:v>0.1168224299065421</c:v>
                </c:pt>
                <c:pt idx="291">
                  <c:v>0.1162790697674419</c:v>
                </c:pt>
                <c:pt idx="292">
                  <c:v>0.1157407407407407</c:v>
                </c:pt>
                <c:pt idx="293">
                  <c:v>0.1152073732718894</c:v>
                </c:pt>
                <c:pt idx="294">
                  <c:v>0.1146788990825688</c:v>
                </c:pt>
                <c:pt idx="295">
                  <c:v>0.11415525114155251</c:v>
                </c:pt>
                <c:pt idx="296">
                  <c:v>0.1136363636363636</c:v>
                </c:pt>
                <c:pt idx="297">
                  <c:v>0.1131221719457014</c:v>
                </c:pt>
                <c:pt idx="298">
                  <c:v>0.1126126126126126</c:v>
                </c:pt>
                <c:pt idx="299">
                  <c:v>0.1121076233183857</c:v>
                </c:pt>
                <c:pt idx="300">
                  <c:v>0.11160714285714279</c:v>
                </c:pt>
                <c:pt idx="301">
                  <c:v>0.1111111111111111</c:v>
                </c:pt>
                <c:pt idx="302">
                  <c:v>0.11061946902654871</c:v>
                </c:pt>
                <c:pt idx="303">
                  <c:v>0.11013215859030839</c:v>
                </c:pt>
                <c:pt idx="304">
                  <c:v>0.10964912280701759</c:v>
                </c:pt>
                <c:pt idx="305">
                  <c:v>0.1091703056768559</c:v>
                </c:pt>
                <c:pt idx="306">
                  <c:v>0.1086956521739131</c:v>
                </c:pt>
                <c:pt idx="307">
                  <c:v>0.1082251082251082</c:v>
                </c:pt>
                <c:pt idx="308">
                  <c:v>0.10775862068965519</c:v>
                </c:pt>
                <c:pt idx="309">
                  <c:v>0.1072961373390558</c:v>
                </c:pt>
                <c:pt idx="310">
                  <c:v>0.1068376068376068</c:v>
                </c:pt>
                <c:pt idx="311">
                  <c:v>0.1063829787234043</c:v>
                </c:pt>
                <c:pt idx="312">
                  <c:v>0.1059322033898305</c:v>
                </c:pt>
                <c:pt idx="313">
                  <c:v>0.1054852320675105</c:v>
                </c:pt>
                <c:pt idx="314">
                  <c:v>0.1050420168067227</c:v>
                </c:pt>
                <c:pt idx="315">
                  <c:v>0.104602510460251</c:v>
                </c:pt>
                <c:pt idx="316">
                  <c:v>0.1041666666666667</c:v>
                </c:pt>
                <c:pt idx="317">
                  <c:v>0.1037344398340249</c:v>
                </c:pt>
                <c:pt idx="318">
                  <c:v>0.1033057851239669</c:v>
                </c:pt>
                <c:pt idx="319">
                  <c:v>0.102880658436214</c:v>
                </c:pt>
                <c:pt idx="320">
                  <c:v>0.1024590163934426</c:v>
                </c:pt>
                <c:pt idx="321">
                  <c:v>0.1020408163265306</c:v>
                </c:pt>
                <c:pt idx="322">
                  <c:v>0.1016260162601626</c:v>
                </c:pt>
                <c:pt idx="323">
                  <c:v>0.10121457489878539</c:v>
                </c:pt>
                <c:pt idx="324">
                  <c:v>0.10080645161290321</c:v>
                </c:pt>
                <c:pt idx="325">
                  <c:v>0.1004016064257028</c:v>
                </c:pt>
                <c:pt idx="326">
                  <c:v>0.1</c:v>
                </c:pt>
                <c:pt idx="327">
                  <c:v>9.9601593625498017E-2</c:v>
                </c:pt>
                <c:pt idx="328">
                  <c:v>9.9206349206349201E-2</c:v>
                </c:pt>
                <c:pt idx="329">
                  <c:v>9.881422924901187E-2</c:v>
                </c:pt>
                <c:pt idx="330">
                  <c:v>9.8425196850393692E-2</c:v>
                </c:pt>
                <c:pt idx="331">
                  <c:v>9.8039215686274522E-2</c:v>
                </c:pt>
                <c:pt idx="332">
                  <c:v>9.765625E-2</c:v>
                </c:pt>
                <c:pt idx="333">
                  <c:v>9.727626459143969E-2</c:v>
                </c:pt>
                <c:pt idx="334">
                  <c:v>9.6899224806201542E-2</c:v>
                </c:pt>
                <c:pt idx="335">
                  <c:v>9.6525096525096526E-2</c:v>
                </c:pt>
                <c:pt idx="336">
                  <c:v>9.6153846153846145E-2</c:v>
                </c:pt>
                <c:pt idx="337">
                  <c:v>9.5785440613026823E-2</c:v>
                </c:pt>
                <c:pt idx="338">
                  <c:v>9.5419847328244267E-2</c:v>
                </c:pt>
                <c:pt idx="339">
                  <c:v>9.5057034220532327E-2</c:v>
                </c:pt>
                <c:pt idx="340">
                  <c:v>9.4696969696969696E-2</c:v>
                </c:pt>
                <c:pt idx="341">
                  <c:v>9.4339622641509441E-2</c:v>
                </c:pt>
                <c:pt idx="342">
                  <c:v>9.3984962406015032E-2</c:v>
                </c:pt>
                <c:pt idx="343">
                  <c:v>9.3632958801498134E-2</c:v>
                </c:pt>
                <c:pt idx="344">
                  <c:v>9.3283582089552231E-2</c:v>
                </c:pt>
                <c:pt idx="345">
                  <c:v>9.2936802973977703E-2</c:v>
                </c:pt>
                <c:pt idx="346">
                  <c:v>9.2592592592592587E-2</c:v>
                </c:pt>
                <c:pt idx="347">
                  <c:v>9.2250922509225092E-2</c:v>
                </c:pt>
                <c:pt idx="348">
                  <c:v>9.1911764705882346E-2</c:v>
                </c:pt>
                <c:pt idx="349">
                  <c:v>9.1575091575091569E-2</c:v>
                </c:pt>
                <c:pt idx="350">
                  <c:v>9.1240875912408759E-2</c:v>
                </c:pt>
                <c:pt idx="351">
                  <c:v>9.0909090909090912E-2</c:v>
                </c:pt>
                <c:pt idx="352">
                  <c:v>9.057971014492755E-2</c:v>
                </c:pt>
                <c:pt idx="353">
                  <c:v>9.0252707581227443E-2</c:v>
                </c:pt>
                <c:pt idx="354">
                  <c:v>8.9928057553956844E-2</c:v>
                </c:pt>
                <c:pt idx="355">
                  <c:v>8.9605734767025089E-2</c:v>
                </c:pt>
                <c:pt idx="356">
                  <c:v>8.9285714285714288E-2</c:v>
                </c:pt>
                <c:pt idx="357">
                  <c:v>8.8967971530249115E-2</c:v>
                </c:pt>
                <c:pt idx="358">
                  <c:v>8.8652482269503549E-2</c:v>
                </c:pt>
                <c:pt idx="359">
                  <c:v>8.8339222614840993E-2</c:v>
                </c:pt>
                <c:pt idx="360">
                  <c:v>8.8028169014084515E-2</c:v>
                </c:pt>
                <c:pt idx="361">
                  <c:v>8.771929824561403E-2</c:v>
                </c:pt>
                <c:pt idx="362">
                  <c:v>8.7412587412587422E-2</c:v>
                </c:pt>
                <c:pt idx="363">
                  <c:v>8.7108013937282222E-2</c:v>
                </c:pt>
                <c:pt idx="364">
                  <c:v>8.6805555555555552E-2</c:v>
                </c:pt>
                <c:pt idx="365">
                  <c:v>8.6505190311418678E-2</c:v>
                </c:pt>
                <c:pt idx="366">
                  <c:v>8.6206896551724144E-2</c:v>
                </c:pt>
                <c:pt idx="367">
                  <c:v>8.5910652920962199E-2</c:v>
                </c:pt>
                <c:pt idx="368">
                  <c:v>8.5616438356164379E-2</c:v>
                </c:pt>
                <c:pt idx="369">
                  <c:v>8.5324232081911255E-2</c:v>
                </c:pt>
                <c:pt idx="370">
                  <c:v>8.5034013605442174E-2</c:v>
                </c:pt>
                <c:pt idx="371">
                  <c:v>8.4745762711864403E-2</c:v>
                </c:pt>
                <c:pt idx="372">
                  <c:v>8.4459459459459457E-2</c:v>
                </c:pt>
                <c:pt idx="373">
                  <c:v>8.4175084175084167E-2</c:v>
                </c:pt>
                <c:pt idx="374">
                  <c:v>8.3892617449664433E-2</c:v>
                </c:pt>
                <c:pt idx="375">
                  <c:v>8.3612040133779264E-2</c:v>
                </c:pt>
                <c:pt idx="376">
                  <c:v>8.3333333333333329E-2</c:v>
                </c:pt>
                <c:pt idx="377">
                  <c:v>8.3056478405315617E-2</c:v>
                </c:pt>
                <c:pt idx="378">
                  <c:v>8.2781456953642391E-2</c:v>
                </c:pt>
                <c:pt idx="379">
                  <c:v>8.2508250825082508E-2</c:v>
                </c:pt>
                <c:pt idx="380">
                  <c:v>8.2236842105263164E-2</c:v>
                </c:pt>
                <c:pt idx="381">
                  <c:v>8.1967213114754106E-2</c:v>
                </c:pt>
                <c:pt idx="382">
                  <c:v>8.1699346405228759E-2</c:v>
                </c:pt>
                <c:pt idx="383">
                  <c:v>8.1433224755700334E-2</c:v>
                </c:pt>
                <c:pt idx="384">
                  <c:v>8.1168831168831168E-2</c:v>
                </c:pt>
                <c:pt idx="385">
                  <c:v>8.0906148867313926E-2</c:v>
                </c:pt>
                <c:pt idx="386">
                  <c:v>8.0645161290322578E-2</c:v>
                </c:pt>
                <c:pt idx="387">
                  <c:v>8.0385852090032156E-2</c:v>
                </c:pt>
                <c:pt idx="388">
                  <c:v>8.0128205128205121E-2</c:v>
                </c:pt>
                <c:pt idx="389">
                  <c:v>7.9872204472843447E-2</c:v>
                </c:pt>
                <c:pt idx="390">
                  <c:v>7.9617834394904455E-2</c:v>
                </c:pt>
                <c:pt idx="391">
                  <c:v>7.9365079365079361E-2</c:v>
                </c:pt>
                <c:pt idx="392">
                  <c:v>7.9113924050632903E-2</c:v>
                </c:pt>
                <c:pt idx="393">
                  <c:v>7.8864353312302835E-2</c:v>
                </c:pt>
                <c:pt idx="394">
                  <c:v>7.8616352201257858E-2</c:v>
                </c:pt>
                <c:pt idx="395">
                  <c:v>7.8369905956112859E-2</c:v>
                </c:pt>
                <c:pt idx="396">
                  <c:v>7.8125E-2</c:v>
                </c:pt>
                <c:pt idx="397">
                  <c:v>7.7881619937694699E-2</c:v>
                </c:pt>
                <c:pt idx="398">
                  <c:v>7.7639751552795025E-2</c:v>
                </c:pt>
                <c:pt idx="399">
                  <c:v>7.7399380804953566E-2</c:v>
                </c:pt>
                <c:pt idx="400">
                  <c:v>7.716049382716049E-2</c:v>
                </c:pt>
                <c:pt idx="401">
                  <c:v>7.6923076923076927E-2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B3-471D-A62C-464681343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1032144"/>
        <c:axId val="1381032624"/>
      </c:scatterChart>
      <c:valAx>
        <c:axId val="1381032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1032624"/>
        <c:crosses val="autoZero"/>
        <c:crossBetween val="midCat"/>
      </c:valAx>
      <c:valAx>
        <c:axId val="138103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1032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130629</xdr:colOff>
      <xdr:row>8</xdr:row>
      <xdr:rowOff>207917</xdr:rowOff>
    </xdr:from>
    <xdr:to>
      <xdr:col>12</xdr:col>
      <xdr:colOff>256901</xdr:colOff>
      <xdr:row>11</xdr:row>
      <xdr:rowOff>38308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24D3E525-6830-4B16-60D1-623DA8AE9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2776" y="2036717"/>
          <a:ext cx="3214378" cy="516191"/>
        </a:xfrm>
        <a:prstGeom prst="rect">
          <a:avLst/>
        </a:prstGeom>
      </xdr:spPr>
    </xdr:pic>
    <xdr:clientData/>
  </xdr:twoCellAnchor>
  <xdr:twoCellAnchor>
    <xdr:from>
      <xdr:col>9</xdr:col>
      <xdr:colOff>827312</xdr:colOff>
      <xdr:row>10</xdr:row>
      <xdr:rowOff>130628</xdr:rowOff>
    </xdr:from>
    <xdr:to>
      <xdr:col>12</xdr:col>
      <xdr:colOff>104502</xdr:colOff>
      <xdr:row>10</xdr:row>
      <xdr:rowOff>134984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3C77961-3AB9-5860-4B61-33A2404C77AF}"/>
            </a:ext>
          </a:extLst>
        </xdr:cNvPr>
        <xdr:cNvCxnSpPr/>
      </xdr:nvCxnSpPr>
      <xdr:spPr>
        <a:xfrm flipV="1">
          <a:off x="6984272" y="2438399"/>
          <a:ext cx="2364379" cy="4356"/>
        </a:xfrm>
        <a:prstGeom prst="line">
          <a:avLst/>
        </a:prstGeom>
        <a:ln w="15875" cap="flat" cmpd="sng" algn="ctr">
          <a:solidFill>
            <a:schemeClr val="tx2">
              <a:lumMod val="50000"/>
              <a:lumOff val="50000"/>
            </a:schemeClr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483325</xdr:colOff>
      <xdr:row>3</xdr:row>
      <xdr:rowOff>74022</xdr:rowOff>
    </xdr:from>
    <xdr:to>
      <xdr:col>11</xdr:col>
      <xdr:colOff>870858</xdr:colOff>
      <xdr:row>5</xdr:row>
      <xdr:rowOff>14102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4F876AC-7672-349C-3950-D63B069F1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69725" y="766353"/>
          <a:ext cx="3152504" cy="401635"/>
        </a:xfrm>
        <a:prstGeom prst="rect">
          <a:avLst/>
        </a:prstGeom>
      </xdr:spPr>
    </xdr:pic>
    <xdr:clientData/>
  </xdr:twoCellAnchor>
  <xdr:twoCellAnchor>
    <xdr:from>
      <xdr:col>9</xdr:col>
      <xdr:colOff>365757</xdr:colOff>
      <xdr:row>4</xdr:row>
      <xdr:rowOff>165462</xdr:rowOff>
    </xdr:from>
    <xdr:to>
      <xdr:col>11</xdr:col>
      <xdr:colOff>635725</xdr:colOff>
      <xdr:row>4</xdr:row>
      <xdr:rowOff>169818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5D543759-1630-4904-B001-C1656D1CADAB}"/>
            </a:ext>
          </a:extLst>
        </xdr:cNvPr>
        <xdr:cNvCxnSpPr/>
      </xdr:nvCxnSpPr>
      <xdr:spPr>
        <a:xfrm flipV="1">
          <a:off x="6522717" y="1088571"/>
          <a:ext cx="2364379" cy="4356"/>
        </a:xfrm>
        <a:prstGeom prst="line">
          <a:avLst/>
        </a:prstGeom>
        <a:ln w="15875" cap="flat" cmpd="sng" algn="ctr">
          <a:solidFill>
            <a:schemeClr val="tx2">
              <a:lumMod val="50000"/>
              <a:lumOff val="50000"/>
            </a:schemeClr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405062</xdr:colOff>
      <xdr:row>14</xdr:row>
      <xdr:rowOff>12032</xdr:rowOff>
    </xdr:from>
    <xdr:to>
      <xdr:col>11</xdr:col>
      <xdr:colOff>846221</xdr:colOff>
      <xdr:row>15</xdr:row>
      <xdr:rowOff>185950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2B832413-C762-4FD6-289B-1A1AE90BE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87451" y="3212432"/>
          <a:ext cx="3208423" cy="402518"/>
        </a:xfrm>
        <a:prstGeom prst="rect">
          <a:avLst/>
        </a:prstGeom>
      </xdr:spPr>
    </xdr:pic>
    <xdr:clientData/>
  </xdr:twoCellAnchor>
  <xdr:twoCellAnchor>
    <xdr:from>
      <xdr:col>9</xdr:col>
      <xdr:colOff>374925</xdr:colOff>
      <xdr:row>15</xdr:row>
      <xdr:rowOff>124325</xdr:rowOff>
    </xdr:from>
    <xdr:to>
      <xdr:col>11</xdr:col>
      <xdr:colOff>642715</xdr:colOff>
      <xdr:row>15</xdr:row>
      <xdr:rowOff>128681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D66742DD-15B9-469D-965B-DE828DDFD3EB}"/>
            </a:ext>
          </a:extLst>
        </xdr:cNvPr>
        <xdr:cNvCxnSpPr/>
      </xdr:nvCxnSpPr>
      <xdr:spPr>
        <a:xfrm flipV="1">
          <a:off x="6527072" y="3553325"/>
          <a:ext cx="2365296" cy="4356"/>
        </a:xfrm>
        <a:prstGeom prst="line">
          <a:avLst/>
        </a:prstGeom>
        <a:ln w="15875" cap="flat" cmpd="sng" algn="ctr">
          <a:solidFill>
            <a:schemeClr val="tx2">
              <a:lumMod val="50000"/>
              <a:lumOff val="50000"/>
            </a:schemeClr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128336</xdr:colOff>
      <xdr:row>17</xdr:row>
      <xdr:rowOff>220579</xdr:rowOff>
    </xdr:from>
    <xdr:to>
      <xdr:col>11</xdr:col>
      <xdr:colOff>457200</xdr:colOff>
      <xdr:row>19</xdr:row>
      <xdr:rowOff>164431</xdr:rowOff>
    </xdr:to>
    <xdr:pic>
      <xdr:nvPicPr>
        <xdr:cNvPr id="19" name="図 18">
          <a:extLst>
            <a:ext uri="{FF2B5EF4-FFF2-40B4-BE49-F238E27FC236}">
              <a16:creationId xmlns:a16="http://schemas.microsoft.com/office/drawing/2014/main" id="{4A9A1920-36B0-F4AD-709B-ED6095882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610725" y="4106779"/>
          <a:ext cx="3096128" cy="401052"/>
        </a:xfrm>
        <a:prstGeom prst="rect">
          <a:avLst/>
        </a:prstGeom>
      </xdr:spPr>
    </xdr:pic>
    <xdr:clientData/>
  </xdr:twoCellAnchor>
  <xdr:twoCellAnchor>
    <xdr:from>
      <xdr:col>9</xdr:col>
      <xdr:colOff>74136</xdr:colOff>
      <xdr:row>19</xdr:row>
      <xdr:rowOff>96251</xdr:rowOff>
    </xdr:from>
    <xdr:to>
      <xdr:col>11</xdr:col>
      <xdr:colOff>341926</xdr:colOff>
      <xdr:row>19</xdr:row>
      <xdr:rowOff>100607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C425C414-CB7C-46AA-A779-14A52C56668D}"/>
            </a:ext>
          </a:extLst>
        </xdr:cNvPr>
        <xdr:cNvCxnSpPr/>
      </xdr:nvCxnSpPr>
      <xdr:spPr>
        <a:xfrm flipV="1">
          <a:off x="6226283" y="4439651"/>
          <a:ext cx="2365296" cy="4356"/>
        </a:xfrm>
        <a:prstGeom prst="line">
          <a:avLst/>
        </a:prstGeom>
        <a:ln w="15875" cap="flat" cmpd="sng" algn="ctr">
          <a:solidFill>
            <a:schemeClr val="tx2">
              <a:lumMod val="50000"/>
              <a:lumOff val="50000"/>
            </a:schemeClr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413086</xdr:colOff>
      <xdr:row>5</xdr:row>
      <xdr:rowOff>144379</xdr:rowOff>
    </xdr:from>
    <xdr:to>
      <xdr:col>11</xdr:col>
      <xdr:colOff>814137</xdr:colOff>
      <xdr:row>7</xdr:row>
      <xdr:rowOff>100263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9637AA0D-435B-49A9-6EA9-7C63A2596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475" y="1287379"/>
          <a:ext cx="3168315" cy="413084"/>
        </a:xfrm>
        <a:prstGeom prst="rect">
          <a:avLst/>
        </a:prstGeom>
      </xdr:spPr>
    </xdr:pic>
    <xdr:clientData/>
  </xdr:twoCellAnchor>
  <xdr:twoCellAnchor>
    <xdr:from>
      <xdr:col>9</xdr:col>
      <xdr:colOff>298725</xdr:colOff>
      <xdr:row>7</xdr:row>
      <xdr:rowOff>16041</xdr:rowOff>
    </xdr:from>
    <xdr:to>
      <xdr:col>11</xdr:col>
      <xdr:colOff>566515</xdr:colOff>
      <xdr:row>7</xdr:row>
      <xdr:rowOff>20397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3E2523C2-C41B-411C-A4B3-0980A637EDE1}"/>
            </a:ext>
          </a:extLst>
        </xdr:cNvPr>
        <xdr:cNvCxnSpPr/>
      </xdr:nvCxnSpPr>
      <xdr:spPr>
        <a:xfrm flipV="1">
          <a:off x="6450872" y="1616241"/>
          <a:ext cx="2365296" cy="4356"/>
        </a:xfrm>
        <a:prstGeom prst="line">
          <a:avLst/>
        </a:prstGeom>
        <a:ln w="15875" cap="flat" cmpd="sng" algn="ctr">
          <a:solidFill>
            <a:schemeClr val="tx2">
              <a:lumMod val="50000"/>
              <a:lumOff val="50000"/>
            </a:schemeClr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24062</xdr:colOff>
      <xdr:row>11</xdr:row>
      <xdr:rowOff>124329</xdr:rowOff>
    </xdr:from>
    <xdr:to>
      <xdr:col>12</xdr:col>
      <xdr:colOff>232609</xdr:colOff>
      <xdr:row>13</xdr:row>
      <xdr:rowOff>87301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F6CD31A7-3D05-0BFF-1646-D2D87C75B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76209" y="2638929"/>
          <a:ext cx="3296653" cy="420172"/>
        </a:xfrm>
        <a:prstGeom prst="rect">
          <a:avLst/>
        </a:prstGeom>
      </xdr:spPr>
    </xdr:pic>
    <xdr:clientData/>
  </xdr:twoCellAnchor>
  <xdr:twoCellAnchor>
    <xdr:from>
      <xdr:col>9</xdr:col>
      <xdr:colOff>647641</xdr:colOff>
      <xdr:row>13</xdr:row>
      <xdr:rowOff>8020</xdr:rowOff>
    </xdr:from>
    <xdr:to>
      <xdr:col>11</xdr:col>
      <xdr:colOff>915431</xdr:colOff>
      <xdr:row>13</xdr:row>
      <xdr:rowOff>12376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EB969174-BA39-4BDC-942B-73B0107B13F8}"/>
            </a:ext>
          </a:extLst>
        </xdr:cNvPr>
        <xdr:cNvCxnSpPr/>
      </xdr:nvCxnSpPr>
      <xdr:spPr>
        <a:xfrm flipV="1">
          <a:off x="6799788" y="2979820"/>
          <a:ext cx="2365296" cy="4356"/>
        </a:xfrm>
        <a:prstGeom prst="line">
          <a:avLst/>
        </a:prstGeom>
        <a:ln w="15875" cap="flat" cmpd="sng" algn="ctr">
          <a:solidFill>
            <a:schemeClr val="tx2">
              <a:lumMod val="50000"/>
              <a:lumOff val="50000"/>
            </a:schemeClr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493293</xdr:colOff>
      <xdr:row>21</xdr:row>
      <xdr:rowOff>113911</xdr:rowOff>
    </xdr:from>
    <xdr:to>
      <xdr:col>11</xdr:col>
      <xdr:colOff>224589</xdr:colOff>
      <xdr:row>23</xdr:row>
      <xdr:rowOff>169117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76C0B396-66FD-0BFB-5E42-4F9F7B1F9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305925" y="4914511"/>
          <a:ext cx="3168317" cy="512406"/>
        </a:xfrm>
        <a:prstGeom prst="rect">
          <a:avLst/>
        </a:prstGeom>
      </xdr:spPr>
    </xdr:pic>
    <xdr:clientData/>
  </xdr:twoCellAnchor>
  <xdr:twoCellAnchor>
    <xdr:from>
      <xdr:col>8</xdr:col>
      <xdr:colOff>403000</xdr:colOff>
      <xdr:row>23</xdr:row>
      <xdr:rowOff>60156</xdr:rowOff>
    </xdr:from>
    <xdr:to>
      <xdr:col>11</xdr:col>
      <xdr:colOff>1032</xdr:colOff>
      <xdr:row>23</xdr:row>
      <xdr:rowOff>64512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BEA1ABCF-8742-4670-B88D-9BB2F0A695B6}"/>
            </a:ext>
          </a:extLst>
        </xdr:cNvPr>
        <xdr:cNvCxnSpPr/>
      </xdr:nvCxnSpPr>
      <xdr:spPr>
        <a:xfrm flipV="1">
          <a:off x="5885389" y="5317956"/>
          <a:ext cx="2365296" cy="4356"/>
        </a:xfrm>
        <a:prstGeom prst="line">
          <a:avLst/>
        </a:prstGeom>
        <a:ln w="15875" cap="flat" cmpd="sng" algn="ctr">
          <a:solidFill>
            <a:schemeClr val="tx2">
              <a:lumMod val="50000"/>
              <a:lumOff val="50000"/>
            </a:schemeClr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468630</xdr:colOff>
      <xdr:row>11</xdr:row>
      <xdr:rowOff>220980</xdr:rowOff>
    </xdr:from>
    <xdr:to>
      <xdr:col>20</xdr:col>
      <xdr:colOff>346710</xdr:colOff>
      <xdr:row>23</xdr:row>
      <xdr:rowOff>220980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796FF42-D794-4DB6-99B3-5A559FA10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82908</xdr:colOff>
      <xdr:row>23</xdr:row>
      <xdr:rowOff>66210</xdr:rowOff>
    </xdr:from>
    <xdr:to>
      <xdr:col>18</xdr:col>
      <xdr:colOff>45101</xdr:colOff>
      <xdr:row>36</xdr:row>
      <xdr:rowOff>114483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EE7B17D-C599-9E1F-B8D1-0EA256083B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91440</xdr:colOff>
          <xdr:row>6</xdr:row>
          <xdr:rowOff>83820</xdr:rowOff>
        </xdr:from>
        <xdr:to>
          <xdr:col>10</xdr:col>
          <xdr:colOff>304800</xdr:colOff>
          <xdr:row>7</xdr:row>
          <xdr:rowOff>114300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攻撃リセット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リセttお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6</xdr:row>
          <xdr:rowOff>83820</xdr:rowOff>
        </xdr:from>
        <xdr:to>
          <xdr:col>5</xdr:col>
          <xdr:colOff>617220</xdr:colOff>
          <xdr:row>7</xdr:row>
          <xdr:rowOff>121920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hyperlink" Target="https://wikiwiki.jp/genshinwiki/%E3%83%80%E3%83%A1%E3%83%BC%E3%82%B8%E8%A8%88%E7%AE%97%E5%BC%8F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BA2DA-F253-4283-82C1-7F6F4721A5E6}">
  <sheetPr codeName="Sheet1"/>
  <dimension ref="B1:M22"/>
  <sheetViews>
    <sheetView zoomScale="130" zoomScaleNormal="130" workbookViewId="0">
      <selection activeCell="F11" sqref="F11"/>
    </sheetView>
  </sheetViews>
  <sheetFormatPr defaultRowHeight="18" x14ac:dyDescent="0.45"/>
  <cols>
    <col min="5" max="5" width="10.3984375" bestFit="1" customWidth="1"/>
    <col min="10" max="10" width="13.5" bestFit="1" customWidth="1"/>
    <col min="11" max="11" width="14" bestFit="1" customWidth="1"/>
    <col min="12" max="12" width="13" bestFit="1" customWidth="1"/>
  </cols>
  <sheetData>
    <row r="1" spans="4:13" x14ac:dyDescent="0.45">
      <c r="K1" t="s">
        <v>14</v>
      </c>
    </row>
    <row r="2" spans="4:13" x14ac:dyDescent="0.45">
      <c r="J2" t="s">
        <v>10</v>
      </c>
    </row>
    <row r="3" spans="4:13" x14ac:dyDescent="0.45">
      <c r="J3" t="s">
        <v>9</v>
      </c>
      <c r="K3" t="s">
        <v>11</v>
      </c>
      <c r="L3" t="s">
        <v>12</v>
      </c>
      <c r="M3" t="s">
        <v>13</v>
      </c>
    </row>
    <row r="4" spans="4:13" x14ac:dyDescent="0.45">
      <c r="F4" t="s">
        <v>3</v>
      </c>
    </row>
    <row r="5" spans="4:13" x14ac:dyDescent="0.45">
      <c r="D5" t="s">
        <v>0</v>
      </c>
    </row>
    <row r="6" spans="4:13" x14ac:dyDescent="0.45">
      <c r="E6" t="s">
        <v>4</v>
      </c>
      <c r="F6">
        <v>480000</v>
      </c>
    </row>
    <row r="7" spans="4:13" x14ac:dyDescent="0.45">
      <c r="E7" t="s">
        <v>5</v>
      </c>
      <c r="F7">
        <v>550000</v>
      </c>
    </row>
    <row r="10" spans="4:13" x14ac:dyDescent="0.45">
      <c r="D10" t="s">
        <v>1</v>
      </c>
    </row>
    <row r="11" spans="4:13" x14ac:dyDescent="0.45">
      <c r="E11" t="s">
        <v>6</v>
      </c>
      <c r="F11">
        <v>430000</v>
      </c>
    </row>
    <row r="12" spans="4:13" x14ac:dyDescent="0.45">
      <c r="E12" t="s">
        <v>7</v>
      </c>
      <c r="F12">
        <v>480000</v>
      </c>
    </row>
    <row r="15" spans="4:13" x14ac:dyDescent="0.45">
      <c r="D15" t="s">
        <v>2</v>
      </c>
    </row>
    <row r="16" spans="4:13" x14ac:dyDescent="0.45">
      <c r="E16" t="s">
        <v>8</v>
      </c>
      <c r="F16">
        <v>380000</v>
      </c>
    </row>
    <row r="18" spans="2:6" x14ac:dyDescent="0.45">
      <c r="B18" t="s">
        <v>35</v>
      </c>
      <c r="D18" t="s">
        <v>15</v>
      </c>
    </row>
    <row r="19" spans="2:6" x14ac:dyDescent="0.45">
      <c r="E19" t="s">
        <v>16</v>
      </c>
      <c r="F19">
        <v>220000</v>
      </c>
    </row>
    <row r="21" spans="2:6" x14ac:dyDescent="0.45">
      <c r="D21" t="s">
        <v>17</v>
      </c>
    </row>
    <row r="22" spans="2:6" x14ac:dyDescent="0.45">
      <c r="E22" t="s">
        <v>7</v>
      </c>
      <c r="F22">
        <v>530000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0DA0B-8787-4316-A470-3041D3928D03}">
  <sheetPr codeName="Sheet2"/>
  <dimension ref="A3:S29"/>
  <sheetViews>
    <sheetView zoomScaleNormal="100" workbookViewId="0">
      <selection activeCell="E32" sqref="E32"/>
    </sheetView>
  </sheetViews>
  <sheetFormatPr defaultRowHeight="18" x14ac:dyDescent="0.45"/>
  <cols>
    <col min="5" max="5" width="10.796875" bestFit="1" customWidth="1"/>
    <col min="7" max="7" width="10.796875" bestFit="1" customWidth="1"/>
  </cols>
  <sheetData>
    <row r="3" spans="1:19" x14ac:dyDescent="0.45">
      <c r="B3" t="s">
        <v>33</v>
      </c>
      <c r="E3" t="s">
        <v>17</v>
      </c>
      <c r="H3" t="s">
        <v>32</v>
      </c>
    </row>
    <row r="4" spans="1:19" x14ac:dyDescent="0.45">
      <c r="A4" t="s">
        <v>31</v>
      </c>
      <c r="B4" t="s">
        <v>30</v>
      </c>
      <c r="D4" t="s">
        <v>28</v>
      </c>
      <c r="E4" t="s">
        <v>27</v>
      </c>
      <c r="F4" t="s">
        <v>29</v>
      </c>
      <c r="H4" t="s">
        <v>28</v>
      </c>
      <c r="I4" t="s">
        <v>27</v>
      </c>
      <c r="M4">
        <f>1.85*2500+1.48*1000</f>
        <v>6105</v>
      </c>
    </row>
    <row r="5" spans="1:19" x14ac:dyDescent="0.45">
      <c r="A5">
        <v>0</v>
      </c>
      <c r="B5">
        <v>0</v>
      </c>
      <c r="D5">
        <v>0</v>
      </c>
      <c r="E5">
        <v>0</v>
      </c>
      <c r="F5">
        <v>0</v>
      </c>
      <c r="H5">
        <v>0</v>
      </c>
      <c r="I5">
        <v>90.7</v>
      </c>
    </row>
    <row r="6" spans="1:19" x14ac:dyDescent="0.45">
      <c r="A6">
        <v>0.3</v>
      </c>
      <c r="B6">
        <v>391</v>
      </c>
      <c r="D6">
        <v>1.8</v>
      </c>
      <c r="E6">
        <v>148</v>
      </c>
      <c r="F6">
        <v>185</v>
      </c>
      <c r="H6">
        <v>1</v>
      </c>
      <c r="I6">
        <v>216</v>
      </c>
      <c r="M6">
        <f>2000*3.36+1000*2.69</f>
        <v>9410</v>
      </c>
      <c r="P6" s="1"/>
      <c r="Q6" s="1" t="s">
        <v>24</v>
      </c>
      <c r="R6" s="1" t="s">
        <v>21</v>
      </c>
      <c r="S6" s="1" t="s">
        <v>26</v>
      </c>
    </row>
    <row r="7" spans="1:19" x14ac:dyDescent="0.45">
      <c r="A7">
        <v>0.6</v>
      </c>
      <c r="B7">
        <v>391</v>
      </c>
      <c r="D7">
        <v>3.6</v>
      </c>
      <c r="E7">
        <v>148</v>
      </c>
      <c r="F7">
        <v>185</v>
      </c>
      <c r="H7">
        <v>2</v>
      </c>
      <c r="I7">
        <v>216</v>
      </c>
      <c r="P7" s="1" t="s">
        <v>18</v>
      </c>
      <c r="Q7" s="1">
        <f>E26</f>
        <v>5445.3703703703704</v>
      </c>
      <c r="R7" s="1">
        <f>I26</f>
        <v>5541.71875</v>
      </c>
      <c r="S7" s="1">
        <f>C26</f>
        <v>8090.8682634730521</v>
      </c>
    </row>
    <row r="8" spans="1:19" x14ac:dyDescent="0.45">
      <c r="A8">
        <v>0.9</v>
      </c>
      <c r="B8">
        <v>391</v>
      </c>
      <c r="D8">
        <v>5.4</v>
      </c>
      <c r="E8">
        <v>148</v>
      </c>
      <c r="F8">
        <v>185</v>
      </c>
      <c r="H8">
        <v>3</v>
      </c>
      <c r="I8">
        <v>216</v>
      </c>
      <c r="M8" t="s">
        <v>26</v>
      </c>
    </row>
    <row r="9" spans="1:19" x14ac:dyDescent="0.45">
      <c r="A9">
        <v>1.2</v>
      </c>
      <c r="B9">
        <v>391</v>
      </c>
      <c r="D9">
        <v>7.2</v>
      </c>
      <c r="E9">
        <v>148</v>
      </c>
      <c r="F9">
        <v>185</v>
      </c>
      <c r="H9">
        <v>4</v>
      </c>
      <c r="I9">
        <v>216</v>
      </c>
      <c r="M9" t="s">
        <v>20</v>
      </c>
      <c r="P9" t="s">
        <v>25</v>
      </c>
      <c r="R9">
        <f>(R7/Q7)*100</f>
        <v>101.76936320353683</v>
      </c>
      <c r="S9">
        <f>(S7/Q7)*100</f>
        <v>148.5825152958833</v>
      </c>
    </row>
    <row r="10" spans="1:19" x14ac:dyDescent="0.45">
      <c r="A10">
        <v>1.5</v>
      </c>
      <c r="B10">
        <v>391</v>
      </c>
      <c r="D10">
        <v>9</v>
      </c>
      <c r="E10">
        <v>148</v>
      </c>
      <c r="F10">
        <v>185</v>
      </c>
      <c r="H10">
        <v>5</v>
      </c>
      <c r="I10">
        <v>216</v>
      </c>
      <c r="M10">
        <v>2500</v>
      </c>
    </row>
    <row r="11" spans="1:19" x14ac:dyDescent="0.45">
      <c r="A11">
        <v>1.8</v>
      </c>
      <c r="B11">
        <v>391</v>
      </c>
      <c r="D11">
        <v>10.8</v>
      </c>
      <c r="E11">
        <v>148</v>
      </c>
      <c r="F11">
        <v>185</v>
      </c>
      <c r="H11">
        <v>6</v>
      </c>
      <c r="I11">
        <v>216</v>
      </c>
      <c r="M11" t="s">
        <v>24</v>
      </c>
    </row>
    <row r="12" spans="1:19" x14ac:dyDescent="0.45">
      <c r="A12">
        <v>2.1</v>
      </c>
      <c r="B12">
        <v>391</v>
      </c>
      <c r="D12">
        <v>12.6</v>
      </c>
      <c r="E12">
        <v>148</v>
      </c>
      <c r="F12">
        <v>185</v>
      </c>
      <c r="H12">
        <v>7</v>
      </c>
      <c r="I12">
        <v>216</v>
      </c>
      <c r="M12" t="s">
        <v>20</v>
      </c>
      <c r="N12" t="s">
        <v>23</v>
      </c>
    </row>
    <row r="13" spans="1:19" x14ac:dyDescent="0.45">
      <c r="A13">
        <v>2.4</v>
      </c>
      <c r="B13">
        <v>391</v>
      </c>
      <c r="D13">
        <v>14.4</v>
      </c>
      <c r="E13">
        <v>148</v>
      </c>
      <c r="F13">
        <v>185</v>
      </c>
      <c r="H13">
        <v>8</v>
      </c>
      <c r="I13">
        <v>216</v>
      </c>
      <c r="M13">
        <v>1000</v>
      </c>
      <c r="N13">
        <v>2500</v>
      </c>
    </row>
    <row r="14" spans="1:19" x14ac:dyDescent="0.45">
      <c r="A14">
        <v>2.7</v>
      </c>
      <c r="B14">
        <v>391</v>
      </c>
      <c r="D14">
        <v>16.2</v>
      </c>
      <c r="E14">
        <v>148</v>
      </c>
      <c r="F14">
        <v>185</v>
      </c>
      <c r="H14">
        <v>9</v>
      </c>
      <c r="I14">
        <v>216</v>
      </c>
    </row>
    <row r="15" spans="1:19" x14ac:dyDescent="0.45">
      <c r="A15">
        <v>4.7</v>
      </c>
      <c r="B15">
        <f>71.3</f>
        <v>71.3</v>
      </c>
      <c r="D15" t="s">
        <v>22</v>
      </c>
      <c r="E15">
        <f>269*3</f>
        <v>807</v>
      </c>
      <c r="F15">
        <f>336*3</f>
        <v>1008</v>
      </c>
      <c r="H15">
        <v>10</v>
      </c>
      <c r="I15">
        <v>216</v>
      </c>
      <c r="M15" t="s">
        <v>21</v>
      </c>
    </row>
    <row r="16" spans="1:19" x14ac:dyDescent="0.45">
      <c r="A16">
        <f t="shared" ref="A16:A21" si="0">A15+2</f>
        <v>6.7</v>
      </c>
      <c r="B16">
        <f t="shared" ref="B16:B21" si="1">302.4</f>
        <v>302.39999999999998</v>
      </c>
      <c r="H16">
        <v>11</v>
      </c>
      <c r="I16">
        <v>216</v>
      </c>
      <c r="M16" t="s">
        <v>20</v>
      </c>
    </row>
    <row r="17" spans="1:13" x14ac:dyDescent="0.45">
      <c r="A17">
        <f t="shared" si="0"/>
        <v>8.6999999999999993</v>
      </c>
      <c r="B17">
        <f t="shared" si="1"/>
        <v>302.39999999999998</v>
      </c>
      <c r="H17">
        <v>12</v>
      </c>
      <c r="I17">
        <v>216</v>
      </c>
      <c r="M17">
        <v>2500</v>
      </c>
    </row>
    <row r="18" spans="1:13" x14ac:dyDescent="0.45">
      <c r="A18">
        <f t="shared" si="0"/>
        <v>10.7</v>
      </c>
      <c r="B18">
        <f t="shared" si="1"/>
        <v>302.39999999999998</v>
      </c>
      <c r="H18">
        <v>13</v>
      </c>
      <c r="I18">
        <v>216</v>
      </c>
    </row>
    <row r="19" spans="1:13" x14ac:dyDescent="0.45">
      <c r="A19">
        <f t="shared" si="0"/>
        <v>12.7</v>
      </c>
      <c r="B19">
        <f t="shared" si="1"/>
        <v>302.39999999999998</v>
      </c>
      <c r="H19">
        <v>14</v>
      </c>
      <c r="I19">
        <v>216</v>
      </c>
    </row>
    <row r="20" spans="1:13" x14ac:dyDescent="0.45">
      <c r="A20">
        <f t="shared" si="0"/>
        <v>14.7</v>
      </c>
      <c r="B20">
        <f t="shared" si="1"/>
        <v>302.39999999999998</v>
      </c>
      <c r="H20">
        <v>15</v>
      </c>
      <c r="I20">
        <v>216</v>
      </c>
    </row>
    <row r="21" spans="1:13" x14ac:dyDescent="0.45">
      <c r="A21">
        <f t="shared" si="0"/>
        <v>16.7</v>
      </c>
      <c r="B21">
        <f t="shared" si="1"/>
        <v>302.39999999999998</v>
      </c>
      <c r="H21">
        <v>16</v>
      </c>
      <c r="I21">
        <v>216</v>
      </c>
    </row>
    <row r="23" spans="1:13" x14ac:dyDescent="0.45">
      <c r="B23">
        <f>3*600</f>
        <v>1800</v>
      </c>
      <c r="E23">
        <f>SUM(E5:E15)</f>
        <v>2139</v>
      </c>
      <c r="F23">
        <f>SUM(F5:F15)</f>
        <v>2673</v>
      </c>
    </row>
    <row r="25" spans="1:13" x14ac:dyDescent="0.45">
      <c r="B25" t="s">
        <v>19</v>
      </c>
      <c r="C25">
        <f>SUM(B5:B21)*2500/100</f>
        <v>135117.49999999997</v>
      </c>
      <c r="D25" t="s">
        <v>19</v>
      </c>
      <c r="E25">
        <f>E23*M13/100+F23*N13/100</f>
        <v>88215</v>
      </c>
      <c r="I25">
        <f>SUM(I5:I21)*M17/100</f>
        <v>88667.5</v>
      </c>
    </row>
    <row r="26" spans="1:13" x14ac:dyDescent="0.45">
      <c r="B26" t="s">
        <v>18</v>
      </c>
      <c r="C26">
        <f>C25/A21</f>
        <v>8090.8682634730521</v>
      </c>
      <c r="D26" t="s">
        <v>18</v>
      </c>
      <c r="E26">
        <f>E25/D14</f>
        <v>5445.3703703703704</v>
      </c>
      <c r="H26" t="s">
        <v>18</v>
      </c>
      <c r="I26">
        <f>I25/16</f>
        <v>5541.71875</v>
      </c>
    </row>
    <row r="29" spans="1:13" x14ac:dyDescent="0.45">
      <c r="B29" s="2" t="s">
        <v>34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A8789-0ADC-4E95-B4A2-AD7511F20357}">
  <sheetPr codeName="Sheet3"/>
  <dimension ref="C1:O20"/>
  <sheetViews>
    <sheetView zoomScaleNormal="100" workbookViewId="0">
      <selection activeCell="R15" sqref="R15"/>
    </sheetView>
  </sheetViews>
  <sheetFormatPr defaultRowHeight="18" x14ac:dyDescent="0.45"/>
  <cols>
    <col min="3" max="3" width="10.3984375" bestFit="1" customWidth="1"/>
    <col min="4" max="4" width="9.796875" customWidth="1"/>
    <col min="8" max="8" width="23.69921875" bestFit="1" customWidth="1"/>
    <col min="14" max="14" width="11.59765625" customWidth="1"/>
    <col min="17" max="17" width="11.69921875" customWidth="1"/>
  </cols>
  <sheetData>
    <row r="1" spans="3:15" x14ac:dyDescent="0.45">
      <c r="O1" t="s">
        <v>56</v>
      </c>
    </row>
    <row r="2" spans="3:15" x14ac:dyDescent="0.45">
      <c r="K2" s="1" t="s">
        <v>38</v>
      </c>
      <c r="L2" s="1" t="s">
        <v>39</v>
      </c>
      <c r="M2" s="1" t="s">
        <v>40</v>
      </c>
      <c r="N2" s="1" t="s">
        <v>41</v>
      </c>
      <c r="O2" s="1" t="s">
        <v>42</v>
      </c>
    </row>
    <row r="3" spans="3:15" x14ac:dyDescent="0.45">
      <c r="K3" s="1"/>
      <c r="L3" s="1">
        <f>I10</f>
        <v>278</v>
      </c>
      <c r="M3" s="1">
        <f>I11</f>
        <v>255</v>
      </c>
      <c r="N3" s="1">
        <f>I12</f>
        <v>22</v>
      </c>
      <c r="O3" s="1">
        <f>L3+M3*3+N3*9</f>
        <v>1241</v>
      </c>
    </row>
    <row r="4" spans="3:15" x14ac:dyDescent="0.45">
      <c r="C4" t="s">
        <v>36</v>
      </c>
      <c r="D4" t="s">
        <v>37</v>
      </c>
    </row>
    <row r="5" spans="3:15" x14ac:dyDescent="0.45">
      <c r="C5">
        <v>1</v>
      </c>
      <c r="D5">
        <v>0</v>
      </c>
    </row>
    <row r="6" spans="3:15" x14ac:dyDescent="0.45">
      <c r="C6">
        <v>2</v>
      </c>
      <c r="D6">
        <v>3</v>
      </c>
    </row>
    <row r="7" spans="3:15" x14ac:dyDescent="0.45">
      <c r="C7">
        <v>3</v>
      </c>
      <c r="D7">
        <v>9</v>
      </c>
      <c r="G7" s="19" t="s">
        <v>57</v>
      </c>
      <c r="H7" s="3"/>
      <c r="I7" s="3"/>
      <c r="J7" s="3"/>
      <c r="K7" s="3"/>
      <c r="L7" s="4"/>
    </row>
    <row r="8" spans="3:15" x14ac:dyDescent="0.45">
      <c r="C8">
        <v>4</v>
      </c>
      <c r="D8">
        <v>21</v>
      </c>
      <c r="G8" s="5"/>
      <c r="L8" s="6"/>
    </row>
    <row r="9" spans="3:15" ht="19.8" customHeight="1" x14ac:dyDescent="0.45">
      <c r="C9">
        <v>5</v>
      </c>
      <c r="D9">
        <v>39</v>
      </c>
      <c r="G9" s="5"/>
      <c r="H9" s="11" t="s">
        <v>49</v>
      </c>
      <c r="I9" s="12"/>
      <c r="J9" s="13" t="s">
        <v>50</v>
      </c>
      <c r="K9" s="14"/>
      <c r="L9" s="6"/>
    </row>
    <row r="10" spans="3:15" ht="19.8" customHeight="1" x14ac:dyDescent="0.45">
      <c r="C10">
        <v>6</v>
      </c>
      <c r="D10">
        <v>66</v>
      </c>
      <c r="G10" s="5"/>
      <c r="H10" s="15" t="s">
        <v>46</v>
      </c>
      <c r="I10" s="16">
        <v>278</v>
      </c>
      <c r="J10" s="13" t="s">
        <v>51</v>
      </c>
      <c r="K10" s="11">
        <v>10</v>
      </c>
      <c r="L10" s="6"/>
    </row>
    <row r="11" spans="3:15" ht="19.8" customHeight="1" x14ac:dyDescent="0.45">
      <c r="C11">
        <v>7</v>
      </c>
      <c r="D11">
        <v>102</v>
      </c>
      <c r="G11" s="5"/>
      <c r="H11" s="17" t="s">
        <v>47</v>
      </c>
      <c r="I11" s="16">
        <v>255</v>
      </c>
      <c r="J11" s="13" t="s">
        <v>52</v>
      </c>
      <c r="K11" s="11">
        <v>10</v>
      </c>
      <c r="L11" s="6"/>
    </row>
    <row r="12" spans="3:15" ht="19.8" customHeight="1" x14ac:dyDescent="0.45">
      <c r="C12">
        <v>8</v>
      </c>
      <c r="D12">
        <v>156</v>
      </c>
      <c r="G12" s="5"/>
      <c r="H12" s="18" t="s">
        <v>48</v>
      </c>
      <c r="I12" s="16">
        <v>22</v>
      </c>
      <c r="J12" s="13" t="s">
        <v>53</v>
      </c>
      <c r="K12" s="11">
        <v>10</v>
      </c>
      <c r="L12" s="6"/>
    </row>
    <row r="13" spans="3:15" ht="19.8" customHeight="1" x14ac:dyDescent="0.45">
      <c r="C13">
        <v>9</v>
      </c>
      <c r="D13">
        <v>264</v>
      </c>
      <c r="G13" s="5"/>
      <c r="L13" s="6"/>
      <c r="N13" t="s">
        <v>59</v>
      </c>
    </row>
    <row r="14" spans="3:15" ht="19.8" customHeight="1" x14ac:dyDescent="0.45">
      <c r="C14">
        <v>10</v>
      </c>
      <c r="D14">
        <v>408</v>
      </c>
      <c r="G14" s="5"/>
      <c r="H14" s="10" t="s">
        <v>58</v>
      </c>
      <c r="I14" s="10">
        <f>(_xlfn.XLOOKUP(K10,C5:C14,D5:D14)+_xlfn.XLOOKUP(K11,C5:C14,D5:D14)+_xlfn.XLOOKUP(K12,C5:C14,D5:D14))-O3</f>
        <v>-17</v>
      </c>
      <c r="K14" s="10" t="str">
        <f>IF(I14&lt;0,"十分","不足")</f>
        <v>十分</v>
      </c>
      <c r="L14" s="6"/>
      <c r="N14" s="20">
        <f>O3/(I14+O3)</f>
        <v>1.0138888888888888</v>
      </c>
    </row>
    <row r="15" spans="3:15" ht="19.8" customHeight="1" x14ac:dyDescent="0.45">
      <c r="G15" s="5"/>
      <c r="H15" s="10" t="s">
        <v>54</v>
      </c>
      <c r="I15" s="10">
        <f>I14/D20</f>
        <v>-0.83992094861660072</v>
      </c>
      <c r="L15" s="6"/>
    </row>
    <row r="16" spans="3:15" ht="19.8" customHeight="1" x14ac:dyDescent="0.45">
      <c r="G16" s="5"/>
      <c r="H16" s="10" t="s">
        <v>55</v>
      </c>
      <c r="I16" s="10">
        <f>I15*40</f>
        <v>-33.596837944664031</v>
      </c>
      <c r="L16" s="6"/>
    </row>
    <row r="17" spans="3:12" x14ac:dyDescent="0.45">
      <c r="C17" t="s">
        <v>43</v>
      </c>
      <c r="G17" s="7"/>
      <c r="H17" s="8"/>
      <c r="I17" s="8"/>
      <c r="J17" s="8"/>
      <c r="K17" s="8"/>
      <c r="L17" s="9"/>
    </row>
    <row r="18" spans="3:12" x14ac:dyDescent="0.45">
      <c r="C18" t="s">
        <v>44</v>
      </c>
      <c r="D18">
        <f>2.2+1.98*3+0.22*9</f>
        <v>10.120000000000001</v>
      </c>
    </row>
    <row r="20" spans="3:12" x14ac:dyDescent="0.45">
      <c r="C20" t="s">
        <v>45</v>
      </c>
      <c r="D20">
        <f>2*D18</f>
        <v>20.240000000000002</v>
      </c>
    </row>
  </sheetData>
  <phoneticPr fontId="1"/>
  <dataValidations count="1">
    <dataValidation type="list" allowBlank="1" showInputMessage="1" showErrorMessage="1" sqref="K10:K12" xr:uid="{09717C70-8B58-4174-B678-0907C19062B8}">
      <formula1>$C$5:$C$14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3FCCA-C9A3-4582-B0BC-D9E4A01EC098}">
  <sheetPr codeName="Sheet4"/>
  <dimension ref="B2:U411"/>
  <sheetViews>
    <sheetView topLeftCell="B1" zoomScale="115" zoomScaleNormal="115" workbookViewId="0">
      <selection activeCell="L19" sqref="L19"/>
    </sheetView>
  </sheetViews>
  <sheetFormatPr defaultRowHeight="18" x14ac:dyDescent="0.45"/>
  <cols>
    <col min="2" max="2" width="9.59765625" customWidth="1"/>
    <col min="3" max="3" width="9.19921875" customWidth="1"/>
    <col min="4" max="4" width="13.796875" bestFit="1" customWidth="1"/>
    <col min="5" max="5" width="9.3984375" bestFit="1" customWidth="1"/>
    <col min="10" max="10" width="10.296875" customWidth="1"/>
    <col min="12" max="12" width="12.5" customWidth="1"/>
    <col min="13" max="13" width="14.5" bestFit="1" customWidth="1"/>
    <col min="16" max="16" width="24.69921875" customWidth="1"/>
  </cols>
  <sheetData>
    <row r="2" spans="2:21" x14ac:dyDescent="0.45">
      <c r="T2" t="s">
        <v>87</v>
      </c>
    </row>
    <row r="3" spans="2:21" x14ac:dyDescent="0.45">
      <c r="B3" t="s">
        <v>82</v>
      </c>
      <c r="D3" s="21" t="s">
        <v>67</v>
      </c>
      <c r="E3" t="s">
        <v>99</v>
      </c>
      <c r="M3" t="s">
        <v>77</v>
      </c>
      <c r="N3" t="s">
        <v>76</v>
      </c>
      <c r="T3" t="s">
        <v>88</v>
      </c>
    </row>
    <row r="5" spans="2:21" x14ac:dyDescent="0.45">
      <c r="C5" s="22" t="s">
        <v>97</v>
      </c>
      <c r="D5" s="3"/>
      <c r="E5" s="3"/>
      <c r="F5" s="4"/>
      <c r="M5" t="s">
        <v>78</v>
      </c>
      <c r="N5" t="s">
        <v>74</v>
      </c>
    </row>
    <row r="6" spans="2:21" x14ac:dyDescent="0.45">
      <c r="C6" s="5"/>
      <c r="D6" t="s">
        <v>66</v>
      </c>
      <c r="E6">
        <v>2019</v>
      </c>
      <c r="F6" s="6"/>
      <c r="H6" t="s">
        <v>103</v>
      </c>
    </row>
    <row r="7" spans="2:21" x14ac:dyDescent="0.45">
      <c r="C7" s="5"/>
      <c r="D7" t="s">
        <v>63</v>
      </c>
      <c r="E7">
        <v>0</v>
      </c>
      <c r="F7" s="6"/>
      <c r="H7" t="s">
        <v>79</v>
      </c>
    </row>
    <row r="8" spans="2:21" x14ac:dyDescent="0.45">
      <c r="C8" s="5"/>
      <c r="D8" t="s">
        <v>64</v>
      </c>
      <c r="E8">
        <v>100</v>
      </c>
      <c r="F8" s="6"/>
      <c r="H8" t="s">
        <v>80</v>
      </c>
      <c r="M8" t="s">
        <v>102</v>
      </c>
    </row>
    <row r="9" spans="2:21" x14ac:dyDescent="0.45">
      <c r="C9" s="5"/>
      <c r="D9" t="s">
        <v>65</v>
      </c>
      <c r="E9">
        <v>200.3</v>
      </c>
      <c r="F9" s="6"/>
      <c r="H9" t="s">
        <v>81</v>
      </c>
      <c r="I9">
        <f>I7*(I8/100*1)</f>
        <v>0</v>
      </c>
      <c r="M9" t="s">
        <v>83</v>
      </c>
      <c r="N9">
        <f>IF(E10/100&lt;0, 1 - E10 / 200, IF(E10/100 &lt; 0.75, 1 - E10/100, 1 / (4 * E10/100 + 1)))</f>
        <v>0.9</v>
      </c>
      <c r="T9" s="24" t="s">
        <v>85</v>
      </c>
      <c r="U9" s="24" t="s">
        <v>84</v>
      </c>
    </row>
    <row r="10" spans="2:21" x14ac:dyDescent="0.45">
      <c r="C10" s="5"/>
      <c r="D10" t="s">
        <v>68</v>
      </c>
      <c r="E10">
        <v>10</v>
      </c>
      <c r="F10" s="6"/>
      <c r="M10" t="s">
        <v>86</v>
      </c>
      <c r="N10">
        <f>N12*(1+N13)</f>
        <v>2.0212499999999998</v>
      </c>
      <c r="T10" s="23">
        <v>-100</v>
      </c>
      <c r="U10" s="23">
        <v>1.5</v>
      </c>
    </row>
    <row r="11" spans="2:21" x14ac:dyDescent="0.45">
      <c r="C11" s="5" t="s">
        <v>98</v>
      </c>
      <c r="F11" s="6"/>
      <c r="M11" t="s">
        <v>70</v>
      </c>
      <c r="N11">
        <f>190/((1-E16/100)*(E17+100)+190)</f>
        <v>0.49222797927461137</v>
      </c>
      <c r="O11" t="s">
        <v>100</v>
      </c>
      <c r="T11" s="23">
        <v>-99</v>
      </c>
      <c r="U11" s="23">
        <v>1.4950000000000001</v>
      </c>
    </row>
    <row r="12" spans="2:21" x14ac:dyDescent="0.45">
      <c r="C12" s="5"/>
      <c r="D12" t="s">
        <v>71</v>
      </c>
      <c r="E12">
        <v>200</v>
      </c>
      <c r="F12" s="6"/>
      <c r="M12" t="s">
        <v>91</v>
      </c>
      <c r="N12" s="10">
        <f>IF(E14=T2,2,1.5)</f>
        <v>1.5</v>
      </c>
      <c r="T12" s="23">
        <v>-98</v>
      </c>
      <c r="U12" s="23">
        <v>1.49</v>
      </c>
    </row>
    <row r="13" spans="2:21" x14ac:dyDescent="0.45">
      <c r="C13" s="5"/>
      <c r="D13" t="s">
        <v>69</v>
      </c>
      <c r="E13">
        <v>0</v>
      </c>
      <c r="F13" s="6"/>
      <c r="M13" t="s">
        <v>92</v>
      </c>
      <c r="N13">
        <f>2.78*E12/(E12+1400)</f>
        <v>0.34749999999999998</v>
      </c>
      <c r="T13" s="23">
        <v>-97</v>
      </c>
      <c r="U13" s="23">
        <v>1.4850000000000001</v>
      </c>
    </row>
    <row r="14" spans="2:21" x14ac:dyDescent="0.45">
      <c r="C14" s="5"/>
      <c r="D14" t="s">
        <v>72</v>
      </c>
      <c r="E14" t="s">
        <v>88</v>
      </c>
      <c r="F14" s="6"/>
      <c r="M14" t="s">
        <v>101</v>
      </c>
      <c r="N14">
        <f>IF(I9&lt;&gt;0,I9,E6)</f>
        <v>2019</v>
      </c>
      <c r="T14" s="23">
        <v>-96</v>
      </c>
      <c r="U14" s="23">
        <v>1.48</v>
      </c>
    </row>
    <row r="15" spans="2:21" x14ac:dyDescent="0.45">
      <c r="C15" s="5"/>
      <c r="D15" t="s">
        <v>75</v>
      </c>
      <c r="E15">
        <v>80</v>
      </c>
      <c r="F15" s="6"/>
      <c r="T15" s="23">
        <v>-95</v>
      </c>
      <c r="U15" s="23">
        <v>1.4750000000000001</v>
      </c>
    </row>
    <row r="16" spans="2:21" x14ac:dyDescent="0.45">
      <c r="C16" s="5"/>
      <c r="D16" t="s">
        <v>73</v>
      </c>
      <c r="E16">
        <v>0</v>
      </c>
      <c r="F16" s="6"/>
      <c r="M16" t="s">
        <v>93</v>
      </c>
      <c r="T16" s="23">
        <v>-94</v>
      </c>
      <c r="U16" s="23">
        <v>1.47</v>
      </c>
    </row>
    <row r="17" spans="3:21" x14ac:dyDescent="0.45">
      <c r="C17" s="5"/>
      <c r="D17" t="s">
        <v>96</v>
      </c>
      <c r="E17">
        <v>96</v>
      </c>
      <c r="F17" s="6"/>
      <c r="M17" t="s">
        <v>94</v>
      </c>
      <c r="T17" s="23"/>
      <c r="U17" s="23"/>
    </row>
    <row r="18" spans="3:21" ht="18.600000000000001" thickBot="1" x14ac:dyDescent="0.5">
      <c r="C18" s="26"/>
      <c r="D18" s="27"/>
      <c r="E18" s="27"/>
      <c r="F18" s="28"/>
      <c r="M18" t="s">
        <v>95</v>
      </c>
      <c r="T18" s="23">
        <v>-93</v>
      </c>
      <c r="U18" s="23">
        <v>1.4650000000000001</v>
      </c>
    </row>
    <row r="19" spans="3:21" ht="18.600000000000001" thickTop="1" x14ac:dyDescent="0.45">
      <c r="C19" s="5" t="s">
        <v>81</v>
      </c>
      <c r="F19" s="6"/>
      <c r="T19" s="23">
        <v>-92</v>
      </c>
      <c r="U19" s="23">
        <v>1.46</v>
      </c>
    </row>
    <row r="20" spans="3:21" x14ac:dyDescent="0.45">
      <c r="C20" s="5"/>
      <c r="D20" t="s">
        <v>89</v>
      </c>
      <c r="E20" s="25">
        <f>(N14*E15/100+E13)*(1+E7/100)*(E8/100)*(1+E9/100)*N9*N11</f>
        <v>2148.772532642487</v>
      </c>
      <c r="F20" s="6"/>
      <c r="J20">
        <v>4299</v>
      </c>
      <c r="T20" s="23">
        <v>-91</v>
      </c>
      <c r="U20" s="23">
        <v>1.4550000000000001</v>
      </c>
    </row>
    <row r="21" spans="3:21" x14ac:dyDescent="0.45">
      <c r="C21" s="5"/>
      <c r="D21" t="s">
        <v>90</v>
      </c>
      <c r="E21">
        <f>(N14*E15/100+E13)*(1+E7/100)*(E8/100)*(1+E9/100)*N9*N11*N10</f>
        <v>4343.2064816036263</v>
      </c>
      <c r="F21" s="6"/>
      <c r="J21">
        <v>4272</v>
      </c>
      <c r="T21" s="23">
        <v>-90</v>
      </c>
      <c r="U21" s="23">
        <v>1.45</v>
      </c>
    </row>
    <row r="22" spans="3:21" x14ac:dyDescent="0.45">
      <c r="C22" s="7"/>
      <c r="D22" s="8"/>
      <c r="E22" s="8"/>
      <c r="F22" s="9"/>
      <c r="T22" s="23">
        <v>-89</v>
      </c>
      <c r="U22" s="23">
        <v>1.4450000000000001</v>
      </c>
    </row>
    <row r="23" spans="3:21" x14ac:dyDescent="0.45">
      <c r="T23" s="23">
        <v>-88</v>
      </c>
      <c r="U23" s="23">
        <v>1.44</v>
      </c>
    </row>
    <row r="24" spans="3:21" x14ac:dyDescent="0.45">
      <c r="T24" s="23">
        <v>-87</v>
      </c>
      <c r="U24" s="23">
        <v>1.4350000000000001</v>
      </c>
    </row>
    <row r="25" spans="3:21" x14ac:dyDescent="0.45">
      <c r="T25" s="23">
        <v>-86</v>
      </c>
      <c r="U25" s="23">
        <v>1.43</v>
      </c>
    </row>
    <row r="26" spans="3:21" x14ac:dyDescent="0.45">
      <c r="T26" s="23">
        <v>-85</v>
      </c>
      <c r="U26" s="23">
        <v>1.425</v>
      </c>
    </row>
    <row r="27" spans="3:21" x14ac:dyDescent="0.45">
      <c r="T27" s="23">
        <v>-84</v>
      </c>
      <c r="U27" s="23">
        <v>1.42</v>
      </c>
    </row>
    <row r="28" spans="3:21" x14ac:dyDescent="0.45">
      <c r="T28" s="23">
        <v>-83</v>
      </c>
      <c r="U28" s="23">
        <v>1.415</v>
      </c>
    </row>
    <row r="29" spans="3:21" x14ac:dyDescent="0.45">
      <c r="T29" s="23">
        <v>-82</v>
      </c>
      <c r="U29" s="23">
        <v>1.41</v>
      </c>
    </row>
    <row r="30" spans="3:21" x14ac:dyDescent="0.45">
      <c r="T30" s="23">
        <v>-81</v>
      </c>
      <c r="U30" s="23">
        <v>1.405</v>
      </c>
    </row>
    <row r="31" spans="3:21" x14ac:dyDescent="0.45">
      <c r="T31" s="23">
        <v>-80</v>
      </c>
      <c r="U31" s="23">
        <v>1.4</v>
      </c>
    </row>
    <row r="32" spans="3:21" x14ac:dyDescent="0.45">
      <c r="T32" s="23">
        <v>-79</v>
      </c>
      <c r="U32" s="23">
        <v>1.395</v>
      </c>
    </row>
    <row r="33" spans="20:21" x14ac:dyDescent="0.45">
      <c r="T33" s="23">
        <v>-78</v>
      </c>
      <c r="U33" s="23">
        <v>1.39</v>
      </c>
    </row>
    <row r="34" spans="20:21" x14ac:dyDescent="0.45">
      <c r="T34" s="23">
        <v>-77</v>
      </c>
      <c r="U34" s="23">
        <v>1.385</v>
      </c>
    </row>
    <row r="35" spans="20:21" x14ac:dyDescent="0.45">
      <c r="T35" s="23">
        <v>-76</v>
      </c>
      <c r="U35" s="23">
        <v>1.38</v>
      </c>
    </row>
    <row r="36" spans="20:21" x14ac:dyDescent="0.45">
      <c r="T36" s="23">
        <v>-75</v>
      </c>
      <c r="U36" s="23">
        <v>1.375</v>
      </c>
    </row>
    <row r="37" spans="20:21" x14ac:dyDescent="0.45">
      <c r="T37" s="23">
        <v>-74</v>
      </c>
      <c r="U37" s="23">
        <v>1.37</v>
      </c>
    </row>
    <row r="38" spans="20:21" x14ac:dyDescent="0.45">
      <c r="T38" s="23">
        <v>-73</v>
      </c>
      <c r="U38" s="23">
        <v>1.365</v>
      </c>
    </row>
    <row r="39" spans="20:21" x14ac:dyDescent="0.45">
      <c r="T39" s="23">
        <v>-72</v>
      </c>
      <c r="U39" s="23">
        <v>1.36</v>
      </c>
    </row>
    <row r="40" spans="20:21" x14ac:dyDescent="0.45">
      <c r="T40" s="23">
        <v>-71</v>
      </c>
      <c r="U40" s="23">
        <v>1.355</v>
      </c>
    </row>
    <row r="41" spans="20:21" x14ac:dyDescent="0.45">
      <c r="T41" s="23">
        <v>-70</v>
      </c>
      <c r="U41" s="23">
        <v>1.35</v>
      </c>
    </row>
    <row r="42" spans="20:21" x14ac:dyDescent="0.45">
      <c r="T42" s="23">
        <v>-69</v>
      </c>
      <c r="U42" s="23">
        <v>1.345</v>
      </c>
    </row>
    <row r="43" spans="20:21" x14ac:dyDescent="0.45">
      <c r="T43" s="23">
        <v>-68</v>
      </c>
      <c r="U43" s="23">
        <v>1.34</v>
      </c>
    </row>
    <row r="44" spans="20:21" x14ac:dyDescent="0.45">
      <c r="T44" s="23">
        <v>-67</v>
      </c>
      <c r="U44" s="23">
        <v>1.335</v>
      </c>
    </row>
    <row r="45" spans="20:21" x14ac:dyDescent="0.45">
      <c r="T45" s="23">
        <v>-66</v>
      </c>
      <c r="U45" s="23">
        <v>1.33</v>
      </c>
    </row>
    <row r="46" spans="20:21" x14ac:dyDescent="0.45">
      <c r="T46" s="23">
        <v>-65</v>
      </c>
      <c r="U46" s="23">
        <v>1.325</v>
      </c>
    </row>
    <row r="47" spans="20:21" x14ac:dyDescent="0.45">
      <c r="T47" s="23">
        <v>-64</v>
      </c>
      <c r="U47" s="23">
        <v>1.32</v>
      </c>
    </row>
    <row r="48" spans="20:21" x14ac:dyDescent="0.45">
      <c r="T48" s="23">
        <v>-63</v>
      </c>
      <c r="U48" s="23">
        <v>1.3149999999999999</v>
      </c>
    </row>
    <row r="49" spans="20:21" x14ac:dyDescent="0.45">
      <c r="T49" s="23">
        <v>-62</v>
      </c>
      <c r="U49" s="23">
        <v>1.31</v>
      </c>
    </row>
    <row r="50" spans="20:21" x14ac:dyDescent="0.45">
      <c r="T50" s="23">
        <v>-61</v>
      </c>
      <c r="U50" s="23">
        <v>1.3049999999999999</v>
      </c>
    </row>
    <row r="51" spans="20:21" x14ac:dyDescent="0.45">
      <c r="T51" s="23">
        <v>-60</v>
      </c>
      <c r="U51" s="23">
        <v>1.3</v>
      </c>
    </row>
    <row r="52" spans="20:21" x14ac:dyDescent="0.45">
      <c r="T52" s="23">
        <v>-59</v>
      </c>
      <c r="U52" s="23">
        <v>1.2949999999999999</v>
      </c>
    </row>
    <row r="53" spans="20:21" x14ac:dyDescent="0.45">
      <c r="T53" s="23">
        <v>-58</v>
      </c>
      <c r="U53" s="23">
        <v>1.29</v>
      </c>
    </row>
    <row r="54" spans="20:21" x14ac:dyDescent="0.45">
      <c r="T54" s="23">
        <v>-57</v>
      </c>
      <c r="U54" s="23">
        <v>1.2849999999999999</v>
      </c>
    </row>
    <row r="55" spans="20:21" x14ac:dyDescent="0.45">
      <c r="T55" s="23">
        <v>-56</v>
      </c>
      <c r="U55" s="23">
        <v>1.28</v>
      </c>
    </row>
    <row r="56" spans="20:21" x14ac:dyDescent="0.45">
      <c r="T56" s="23">
        <v>-55</v>
      </c>
      <c r="U56" s="23">
        <v>1.2749999999999999</v>
      </c>
    </row>
    <row r="57" spans="20:21" x14ac:dyDescent="0.45">
      <c r="T57" s="23">
        <v>-54</v>
      </c>
      <c r="U57" s="23">
        <v>1.27</v>
      </c>
    </row>
    <row r="58" spans="20:21" x14ac:dyDescent="0.45">
      <c r="T58" s="23">
        <v>-53</v>
      </c>
      <c r="U58" s="23">
        <v>1.2649999999999999</v>
      </c>
    </row>
    <row r="59" spans="20:21" x14ac:dyDescent="0.45">
      <c r="T59" s="23">
        <v>-52</v>
      </c>
      <c r="U59" s="23">
        <v>1.26</v>
      </c>
    </row>
    <row r="60" spans="20:21" x14ac:dyDescent="0.45">
      <c r="T60" s="23">
        <v>-51</v>
      </c>
      <c r="U60" s="23">
        <v>1.2549999999999999</v>
      </c>
    </row>
    <row r="61" spans="20:21" x14ac:dyDescent="0.45">
      <c r="T61" s="23">
        <v>-50</v>
      </c>
      <c r="U61" s="23">
        <v>1.25</v>
      </c>
    </row>
    <row r="62" spans="20:21" x14ac:dyDescent="0.45">
      <c r="T62" s="23">
        <v>-49</v>
      </c>
      <c r="U62" s="23">
        <v>1.2450000000000001</v>
      </c>
    </row>
    <row r="63" spans="20:21" x14ac:dyDescent="0.45">
      <c r="T63" s="23">
        <v>-48</v>
      </c>
      <c r="U63" s="23">
        <v>1.24</v>
      </c>
    </row>
    <row r="64" spans="20:21" x14ac:dyDescent="0.45">
      <c r="T64" s="23">
        <v>-47</v>
      </c>
      <c r="U64" s="23">
        <v>1.2350000000000001</v>
      </c>
    </row>
    <row r="65" spans="20:21" x14ac:dyDescent="0.45">
      <c r="T65" s="23">
        <v>-46</v>
      </c>
      <c r="U65" s="23">
        <v>1.23</v>
      </c>
    </row>
    <row r="66" spans="20:21" x14ac:dyDescent="0.45">
      <c r="T66" s="23">
        <v>-45</v>
      </c>
      <c r="U66" s="23">
        <v>1.2250000000000001</v>
      </c>
    </row>
    <row r="67" spans="20:21" x14ac:dyDescent="0.45">
      <c r="T67" s="23">
        <v>-44</v>
      </c>
      <c r="U67" s="23">
        <v>1.22</v>
      </c>
    </row>
    <row r="68" spans="20:21" x14ac:dyDescent="0.45">
      <c r="T68" s="23">
        <v>-43</v>
      </c>
      <c r="U68" s="23">
        <v>1.2150000000000001</v>
      </c>
    </row>
    <row r="69" spans="20:21" x14ac:dyDescent="0.45">
      <c r="T69" s="23">
        <v>-42</v>
      </c>
      <c r="U69" s="23">
        <v>1.21</v>
      </c>
    </row>
    <row r="70" spans="20:21" x14ac:dyDescent="0.45">
      <c r="T70" s="23">
        <v>-41</v>
      </c>
      <c r="U70" s="23">
        <v>1.2050000000000001</v>
      </c>
    </row>
    <row r="71" spans="20:21" x14ac:dyDescent="0.45">
      <c r="T71" s="23">
        <v>-40</v>
      </c>
      <c r="U71" s="23">
        <v>1.2</v>
      </c>
    </row>
    <row r="72" spans="20:21" x14ac:dyDescent="0.45">
      <c r="T72" s="23">
        <v>-39</v>
      </c>
      <c r="U72" s="23">
        <v>1.1950000000000001</v>
      </c>
    </row>
    <row r="73" spans="20:21" x14ac:dyDescent="0.45">
      <c r="T73" s="23">
        <v>-38</v>
      </c>
      <c r="U73" s="23">
        <v>1.19</v>
      </c>
    </row>
    <row r="74" spans="20:21" x14ac:dyDescent="0.45">
      <c r="T74" s="23">
        <v>-37</v>
      </c>
      <c r="U74" s="23">
        <v>1.1850000000000001</v>
      </c>
    </row>
    <row r="75" spans="20:21" x14ac:dyDescent="0.45">
      <c r="T75" s="23">
        <v>-36</v>
      </c>
      <c r="U75" s="23">
        <v>1.18</v>
      </c>
    </row>
    <row r="76" spans="20:21" x14ac:dyDescent="0.45">
      <c r="T76" s="23">
        <v>-35</v>
      </c>
      <c r="U76" s="23">
        <v>1.175</v>
      </c>
    </row>
    <row r="77" spans="20:21" x14ac:dyDescent="0.45">
      <c r="T77" s="23">
        <v>-34</v>
      </c>
      <c r="U77" s="23">
        <v>1.17</v>
      </c>
    </row>
    <row r="78" spans="20:21" x14ac:dyDescent="0.45">
      <c r="T78" s="23">
        <v>-33</v>
      </c>
      <c r="U78" s="23">
        <v>1.165</v>
      </c>
    </row>
    <row r="79" spans="20:21" x14ac:dyDescent="0.45">
      <c r="T79" s="23">
        <v>-32</v>
      </c>
      <c r="U79" s="23">
        <v>1.1599999999999999</v>
      </c>
    </row>
    <row r="80" spans="20:21" x14ac:dyDescent="0.45">
      <c r="T80" s="23">
        <v>-31</v>
      </c>
      <c r="U80" s="23">
        <v>1.155</v>
      </c>
    </row>
    <row r="81" spans="20:21" x14ac:dyDescent="0.45">
      <c r="T81" s="23">
        <v>-30</v>
      </c>
      <c r="U81" s="23">
        <v>1.1499999999999999</v>
      </c>
    </row>
    <row r="82" spans="20:21" x14ac:dyDescent="0.45">
      <c r="T82" s="23">
        <v>-29</v>
      </c>
      <c r="U82" s="23">
        <v>1.145</v>
      </c>
    </row>
    <row r="83" spans="20:21" x14ac:dyDescent="0.45">
      <c r="T83" s="23">
        <v>-28</v>
      </c>
      <c r="U83" s="23">
        <v>1.1399999999999999</v>
      </c>
    </row>
    <row r="84" spans="20:21" x14ac:dyDescent="0.45">
      <c r="T84" s="23">
        <v>-27</v>
      </c>
      <c r="U84" s="23">
        <v>1.135</v>
      </c>
    </row>
    <row r="85" spans="20:21" x14ac:dyDescent="0.45">
      <c r="T85" s="23">
        <v>-26</v>
      </c>
      <c r="U85" s="23">
        <v>1.1299999999999999</v>
      </c>
    </row>
    <row r="86" spans="20:21" x14ac:dyDescent="0.45">
      <c r="T86" s="23">
        <v>-25</v>
      </c>
      <c r="U86" s="23">
        <v>1.125</v>
      </c>
    </row>
    <row r="87" spans="20:21" x14ac:dyDescent="0.45">
      <c r="T87" s="23">
        <v>-24</v>
      </c>
      <c r="U87" s="23">
        <v>1.1200000000000001</v>
      </c>
    </row>
    <row r="88" spans="20:21" x14ac:dyDescent="0.45">
      <c r="T88" s="23">
        <v>-23</v>
      </c>
      <c r="U88" s="23">
        <v>1.115</v>
      </c>
    </row>
    <row r="89" spans="20:21" x14ac:dyDescent="0.45">
      <c r="T89" s="23">
        <v>-22</v>
      </c>
      <c r="U89" s="23">
        <v>1.1100000000000001</v>
      </c>
    </row>
    <row r="90" spans="20:21" x14ac:dyDescent="0.45">
      <c r="T90" s="23">
        <v>-21</v>
      </c>
      <c r="U90" s="23">
        <v>1.105</v>
      </c>
    </row>
    <row r="91" spans="20:21" x14ac:dyDescent="0.45">
      <c r="T91" s="23">
        <v>-20</v>
      </c>
      <c r="U91" s="23">
        <v>1.1000000000000001</v>
      </c>
    </row>
    <row r="92" spans="20:21" x14ac:dyDescent="0.45">
      <c r="T92" s="23">
        <v>-19</v>
      </c>
      <c r="U92" s="23">
        <v>1.095</v>
      </c>
    </row>
    <row r="93" spans="20:21" x14ac:dyDescent="0.45">
      <c r="T93" s="23">
        <v>-18</v>
      </c>
      <c r="U93" s="23">
        <v>1.0900000000000001</v>
      </c>
    </row>
    <row r="94" spans="20:21" x14ac:dyDescent="0.45">
      <c r="T94" s="23">
        <v>-17</v>
      </c>
      <c r="U94" s="23">
        <v>1.085</v>
      </c>
    </row>
    <row r="95" spans="20:21" x14ac:dyDescent="0.45">
      <c r="T95" s="23">
        <v>-16</v>
      </c>
      <c r="U95" s="23">
        <v>1.08</v>
      </c>
    </row>
    <row r="96" spans="20:21" x14ac:dyDescent="0.45">
      <c r="T96" s="23">
        <v>-15</v>
      </c>
      <c r="U96" s="23">
        <v>1.075</v>
      </c>
    </row>
    <row r="97" spans="20:21" x14ac:dyDescent="0.45">
      <c r="T97" s="23">
        <v>-14</v>
      </c>
      <c r="U97" s="23">
        <v>1.07</v>
      </c>
    </row>
    <row r="98" spans="20:21" x14ac:dyDescent="0.45">
      <c r="T98" s="23">
        <v>-13</v>
      </c>
      <c r="U98" s="23">
        <v>1.0649999999999999</v>
      </c>
    </row>
    <row r="99" spans="20:21" x14ac:dyDescent="0.45">
      <c r="T99" s="23">
        <v>-12</v>
      </c>
      <c r="U99" s="23">
        <v>1.06</v>
      </c>
    </row>
    <row r="100" spans="20:21" x14ac:dyDescent="0.45">
      <c r="T100" s="23">
        <v>-11</v>
      </c>
      <c r="U100" s="23">
        <v>1.0549999999999999</v>
      </c>
    </row>
    <row r="101" spans="20:21" x14ac:dyDescent="0.45">
      <c r="T101" s="23">
        <v>-10</v>
      </c>
      <c r="U101" s="23">
        <v>1.05</v>
      </c>
    </row>
    <row r="102" spans="20:21" x14ac:dyDescent="0.45">
      <c r="T102" s="23">
        <v>-9</v>
      </c>
      <c r="U102" s="23">
        <v>1.0449999999999999</v>
      </c>
    </row>
    <row r="103" spans="20:21" x14ac:dyDescent="0.45">
      <c r="T103" s="23">
        <v>-8</v>
      </c>
      <c r="U103" s="23">
        <v>1.04</v>
      </c>
    </row>
    <row r="104" spans="20:21" x14ac:dyDescent="0.45">
      <c r="T104" s="23">
        <v>-7</v>
      </c>
      <c r="U104" s="23">
        <v>1.0349999999999999</v>
      </c>
    </row>
    <row r="105" spans="20:21" x14ac:dyDescent="0.45">
      <c r="T105" s="23">
        <v>-6</v>
      </c>
      <c r="U105" s="23">
        <v>1.03</v>
      </c>
    </row>
    <row r="106" spans="20:21" x14ac:dyDescent="0.45">
      <c r="T106" s="23">
        <v>-5</v>
      </c>
      <c r="U106" s="23">
        <v>1.0249999999999999</v>
      </c>
    </row>
    <row r="107" spans="20:21" x14ac:dyDescent="0.45">
      <c r="T107" s="23">
        <v>-4</v>
      </c>
      <c r="U107" s="23">
        <v>1.02</v>
      </c>
    </row>
    <row r="108" spans="20:21" x14ac:dyDescent="0.45">
      <c r="T108" s="23">
        <v>-3</v>
      </c>
      <c r="U108" s="23">
        <v>1.0149999999999999</v>
      </c>
    </row>
    <row r="109" spans="20:21" x14ac:dyDescent="0.45">
      <c r="T109" s="23">
        <v>-2</v>
      </c>
      <c r="U109" s="23">
        <v>1.01</v>
      </c>
    </row>
    <row r="110" spans="20:21" x14ac:dyDescent="0.45">
      <c r="T110" s="23">
        <v>-1</v>
      </c>
      <c r="U110" s="23">
        <v>1.0049999999999999</v>
      </c>
    </row>
    <row r="111" spans="20:21" x14ac:dyDescent="0.45">
      <c r="T111" s="23">
        <v>0</v>
      </c>
      <c r="U111" s="23">
        <v>1</v>
      </c>
    </row>
    <row r="112" spans="20:21" x14ac:dyDescent="0.45">
      <c r="T112" s="23">
        <v>1</v>
      </c>
      <c r="U112" s="23">
        <v>0.99</v>
      </c>
    </row>
    <row r="113" spans="20:21" x14ac:dyDescent="0.45">
      <c r="T113" s="23">
        <v>2</v>
      </c>
      <c r="U113" s="23">
        <v>0.98</v>
      </c>
    </row>
    <row r="114" spans="20:21" x14ac:dyDescent="0.45">
      <c r="T114" s="23">
        <v>3</v>
      </c>
      <c r="U114" s="23">
        <v>0.97</v>
      </c>
    </row>
    <row r="115" spans="20:21" x14ac:dyDescent="0.45">
      <c r="T115" s="23">
        <v>4</v>
      </c>
      <c r="U115" s="23">
        <v>0.96</v>
      </c>
    </row>
    <row r="116" spans="20:21" x14ac:dyDescent="0.45">
      <c r="T116" s="23">
        <v>5</v>
      </c>
      <c r="U116" s="23">
        <v>0.95</v>
      </c>
    </row>
    <row r="117" spans="20:21" x14ac:dyDescent="0.45">
      <c r="T117" s="23">
        <v>6</v>
      </c>
      <c r="U117" s="23">
        <v>0.94</v>
      </c>
    </row>
    <row r="118" spans="20:21" x14ac:dyDescent="0.45">
      <c r="T118" s="23">
        <v>7</v>
      </c>
      <c r="U118" s="23">
        <v>0.92999999999999994</v>
      </c>
    </row>
    <row r="119" spans="20:21" x14ac:dyDescent="0.45">
      <c r="T119" s="23">
        <v>8</v>
      </c>
      <c r="U119" s="23">
        <v>0.92</v>
      </c>
    </row>
    <row r="120" spans="20:21" x14ac:dyDescent="0.45">
      <c r="T120" s="23">
        <v>9</v>
      </c>
      <c r="U120" s="23">
        <v>0.91</v>
      </c>
    </row>
    <row r="121" spans="20:21" x14ac:dyDescent="0.45">
      <c r="T121" s="23">
        <v>10</v>
      </c>
      <c r="U121" s="23">
        <v>0.9</v>
      </c>
    </row>
    <row r="122" spans="20:21" x14ac:dyDescent="0.45">
      <c r="T122" s="23">
        <v>11</v>
      </c>
      <c r="U122" s="23">
        <v>0.89</v>
      </c>
    </row>
    <row r="123" spans="20:21" x14ac:dyDescent="0.45">
      <c r="T123" s="23">
        <v>12</v>
      </c>
      <c r="U123" s="23">
        <v>0.88</v>
      </c>
    </row>
    <row r="124" spans="20:21" x14ac:dyDescent="0.45">
      <c r="T124" s="23">
        <v>13</v>
      </c>
      <c r="U124" s="23">
        <v>0.87</v>
      </c>
    </row>
    <row r="125" spans="20:21" x14ac:dyDescent="0.45">
      <c r="T125" s="23">
        <v>14</v>
      </c>
      <c r="U125" s="23">
        <v>0.86</v>
      </c>
    </row>
    <row r="126" spans="20:21" x14ac:dyDescent="0.45">
      <c r="T126" s="23">
        <v>15</v>
      </c>
      <c r="U126" s="23">
        <v>0.85</v>
      </c>
    </row>
    <row r="127" spans="20:21" x14ac:dyDescent="0.45">
      <c r="T127" s="23">
        <v>16</v>
      </c>
      <c r="U127" s="23">
        <v>0.84</v>
      </c>
    </row>
    <row r="128" spans="20:21" x14ac:dyDescent="0.45">
      <c r="T128" s="23">
        <v>17</v>
      </c>
      <c r="U128" s="23">
        <v>0.83</v>
      </c>
    </row>
    <row r="129" spans="20:21" x14ac:dyDescent="0.45">
      <c r="T129" s="23">
        <v>18</v>
      </c>
      <c r="U129" s="23">
        <v>0.82000000000000006</v>
      </c>
    </row>
    <row r="130" spans="20:21" x14ac:dyDescent="0.45">
      <c r="T130" s="23">
        <v>19</v>
      </c>
      <c r="U130" s="23">
        <v>0.81</v>
      </c>
    </row>
    <row r="131" spans="20:21" x14ac:dyDescent="0.45">
      <c r="T131" s="23">
        <v>20</v>
      </c>
      <c r="U131" s="23">
        <v>0.8</v>
      </c>
    </row>
    <row r="132" spans="20:21" x14ac:dyDescent="0.45">
      <c r="T132" s="23">
        <v>21</v>
      </c>
      <c r="U132" s="23">
        <v>0.79</v>
      </c>
    </row>
    <row r="133" spans="20:21" x14ac:dyDescent="0.45">
      <c r="T133" s="23">
        <v>22</v>
      </c>
      <c r="U133" s="23">
        <v>0.78</v>
      </c>
    </row>
    <row r="134" spans="20:21" x14ac:dyDescent="0.45">
      <c r="T134" s="23">
        <v>23</v>
      </c>
      <c r="U134" s="23">
        <v>0.77</v>
      </c>
    </row>
    <row r="135" spans="20:21" x14ac:dyDescent="0.45">
      <c r="T135" s="23">
        <v>24</v>
      </c>
      <c r="U135" s="23">
        <v>0.76</v>
      </c>
    </row>
    <row r="136" spans="20:21" x14ac:dyDescent="0.45">
      <c r="T136" s="23">
        <v>25</v>
      </c>
      <c r="U136" s="23">
        <v>0.75</v>
      </c>
    </row>
    <row r="137" spans="20:21" x14ac:dyDescent="0.45">
      <c r="T137" s="23">
        <v>26</v>
      </c>
      <c r="U137" s="23">
        <v>0.74</v>
      </c>
    </row>
    <row r="138" spans="20:21" x14ac:dyDescent="0.45">
      <c r="T138" s="23">
        <v>27</v>
      </c>
      <c r="U138" s="23">
        <v>0.73</v>
      </c>
    </row>
    <row r="139" spans="20:21" x14ac:dyDescent="0.45">
      <c r="T139" s="23">
        <v>28</v>
      </c>
      <c r="U139" s="23">
        <v>0.72</v>
      </c>
    </row>
    <row r="140" spans="20:21" x14ac:dyDescent="0.45">
      <c r="T140" s="23">
        <v>29</v>
      </c>
      <c r="U140" s="23">
        <v>0.71</v>
      </c>
    </row>
    <row r="141" spans="20:21" x14ac:dyDescent="0.45">
      <c r="T141" s="23">
        <v>30</v>
      </c>
      <c r="U141" s="23">
        <v>0.7</v>
      </c>
    </row>
    <row r="142" spans="20:21" x14ac:dyDescent="0.45">
      <c r="T142" s="23">
        <v>31</v>
      </c>
      <c r="U142" s="23">
        <v>0.69</v>
      </c>
    </row>
    <row r="143" spans="20:21" x14ac:dyDescent="0.45">
      <c r="T143" s="23">
        <v>32</v>
      </c>
      <c r="U143" s="23">
        <v>0.67999999999999994</v>
      </c>
    </row>
    <row r="144" spans="20:21" x14ac:dyDescent="0.45">
      <c r="T144" s="23">
        <v>33</v>
      </c>
      <c r="U144" s="23">
        <v>0.66999999999999993</v>
      </c>
    </row>
    <row r="145" spans="20:21" x14ac:dyDescent="0.45">
      <c r="T145" s="23">
        <v>34</v>
      </c>
      <c r="U145" s="23">
        <v>0.65999999999999992</v>
      </c>
    </row>
    <row r="146" spans="20:21" x14ac:dyDescent="0.45">
      <c r="T146" s="23">
        <v>35</v>
      </c>
      <c r="U146" s="23">
        <v>0.65</v>
      </c>
    </row>
    <row r="147" spans="20:21" x14ac:dyDescent="0.45">
      <c r="T147" s="23">
        <v>36</v>
      </c>
      <c r="U147" s="23">
        <v>0.64</v>
      </c>
    </row>
    <row r="148" spans="20:21" x14ac:dyDescent="0.45">
      <c r="T148" s="23">
        <v>37</v>
      </c>
      <c r="U148" s="23">
        <v>0.63</v>
      </c>
    </row>
    <row r="149" spans="20:21" x14ac:dyDescent="0.45">
      <c r="T149" s="23">
        <v>38</v>
      </c>
      <c r="U149" s="23">
        <v>0.62</v>
      </c>
    </row>
    <row r="150" spans="20:21" x14ac:dyDescent="0.45">
      <c r="T150" s="23">
        <v>39</v>
      </c>
      <c r="U150" s="23">
        <v>0.61</v>
      </c>
    </row>
    <row r="151" spans="20:21" x14ac:dyDescent="0.45">
      <c r="T151" s="23">
        <v>40</v>
      </c>
      <c r="U151" s="23">
        <v>0.6</v>
      </c>
    </row>
    <row r="152" spans="20:21" x14ac:dyDescent="0.45">
      <c r="T152" s="23">
        <v>41</v>
      </c>
      <c r="U152" s="23">
        <v>0.59000000000000008</v>
      </c>
    </row>
    <row r="153" spans="20:21" x14ac:dyDescent="0.45">
      <c r="T153" s="23">
        <v>42</v>
      </c>
      <c r="U153" s="23">
        <v>0.58000000000000007</v>
      </c>
    </row>
    <row r="154" spans="20:21" x14ac:dyDescent="0.45">
      <c r="T154" s="23">
        <v>43</v>
      </c>
      <c r="U154" s="23">
        <v>0.57000000000000006</v>
      </c>
    </row>
    <row r="155" spans="20:21" x14ac:dyDescent="0.45">
      <c r="T155" s="23">
        <v>44</v>
      </c>
      <c r="U155" s="23">
        <v>0.56000000000000005</v>
      </c>
    </row>
    <row r="156" spans="20:21" x14ac:dyDescent="0.45">
      <c r="T156" s="23">
        <v>45</v>
      </c>
      <c r="U156" s="23">
        <v>0.55000000000000004</v>
      </c>
    </row>
    <row r="157" spans="20:21" x14ac:dyDescent="0.45">
      <c r="T157" s="23">
        <v>46</v>
      </c>
      <c r="U157" s="23">
        <v>0.54</v>
      </c>
    </row>
    <row r="158" spans="20:21" x14ac:dyDescent="0.45">
      <c r="T158" s="23">
        <v>47</v>
      </c>
      <c r="U158" s="23">
        <v>0.53</v>
      </c>
    </row>
    <row r="159" spans="20:21" x14ac:dyDescent="0.45">
      <c r="T159" s="23">
        <v>48</v>
      </c>
      <c r="U159" s="23">
        <v>0.52</v>
      </c>
    </row>
    <row r="160" spans="20:21" x14ac:dyDescent="0.45">
      <c r="T160" s="23">
        <v>49</v>
      </c>
      <c r="U160" s="23">
        <v>0.51</v>
      </c>
    </row>
    <row r="161" spans="20:21" x14ac:dyDescent="0.45">
      <c r="T161" s="23">
        <v>50</v>
      </c>
      <c r="U161" s="23">
        <v>0.5</v>
      </c>
    </row>
    <row r="162" spans="20:21" x14ac:dyDescent="0.45">
      <c r="T162" s="23">
        <v>51</v>
      </c>
      <c r="U162" s="23">
        <v>0.49</v>
      </c>
    </row>
    <row r="163" spans="20:21" x14ac:dyDescent="0.45">
      <c r="T163" s="23">
        <v>52</v>
      </c>
      <c r="U163" s="23">
        <v>0.48</v>
      </c>
    </row>
    <row r="164" spans="20:21" x14ac:dyDescent="0.45">
      <c r="T164" s="23">
        <v>53</v>
      </c>
      <c r="U164" s="23">
        <v>0.47</v>
      </c>
    </row>
    <row r="165" spans="20:21" x14ac:dyDescent="0.45">
      <c r="T165" s="23">
        <v>54</v>
      </c>
      <c r="U165" s="23">
        <v>0.46</v>
      </c>
    </row>
    <row r="166" spans="20:21" x14ac:dyDescent="0.45">
      <c r="T166" s="23">
        <v>55</v>
      </c>
      <c r="U166" s="23">
        <v>0.45</v>
      </c>
    </row>
    <row r="167" spans="20:21" x14ac:dyDescent="0.45">
      <c r="T167" s="23">
        <v>56</v>
      </c>
      <c r="U167" s="23">
        <v>0.43999999999999989</v>
      </c>
    </row>
    <row r="168" spans="20:21" x14ac:dyDescent="0.45">
      <c r="T168" s="23">
        <v>57</v>
      </c>
      <c r="U168" s="23">
        <v>0.43</v>
      </c>
    </row>
    <row r="169" spans="20:21" x14ac:dyDescent="0.45">
      <c r="T169" s="23">
        <v>58</v>
      </c>
      <c r="U169" s="23">
        <v>0.42</v>
      </c>
    </row>
    <row r="170" spans="20:21" x14ac:dyDescent="0.45">
      <c r="T170" s="23">
        <v>59</v>
      </c>
      <c r="U170" s="23">
        <v>0.41</v>
      </c>
    </row>
    <row r="171" spans="20:21" x14ac:dyDescent="0.45">
      <c r="T171" s="23">
        <v>60</v>
      </c>
      <c r="U171" s="23">
        <v>0.4</v>
      </c>
    </row>
    <row r="172" spans="20:21" x14ac:dyDescent="0.45">
      <c r="T172" s="23">
        <v>61</v>
      </c>
      <c r="U172" s="23">
        <v>0.39</v>
      </c>
    </row>
    <row r="173" spans="20:21" x14ac:dyDescent="0.45">
      <c r="T173" s="23">
        <v>62</v>
      </c>
      <c r="U173" s="23">
        <v>0.38</v>
      </c>
    </row>
    <row r="174" spans="20:21" x14ac:dyDescent="0.45">
      <c r="T174" s="23">
        <v>63</v>
      </c>
      <c r="U174" s="23">
        <v>0.37</v>
      </c>
    </row>
    <row r="175" spans="20:21" x14ac:dyDescent="0.45">
      <c r="T175" s="23">
        <v>64</v>
      </c>
      <c r="U175" s="23">
        <v>0.36</v>
      </c>
    </row>
    <row r="176" spans="20:21" x14ac:dyDescent="0.45">
      <c r="T176" s="23">
        <v>65</v>
      </c>
      <c r="U176" s="23">
        <v>0.35</v>
      </c>
    </row>
    <row r="177" spans="20:21" x14ac:dyDescent="0.45">
      <c r="T177" s="23">
        <v>66</v>
      </c>
      <c r="U177" s="23">
        <v>0.34</v>
      </c>
    </row>
    <row r="178" spans="20:21" x14ac:dyDescent="0.45">
      <c r="T178" s="23">
        <v>67</v>
      </c>
      <c r="U178" s="23">
        <v>0.33</v>
      </c>
    </row>
    <row r="179" spans="20:21" x14ac:dyDescent="0.45">
      <c r="T179" s="23">
        <v>68</v>
      </c>
      <c r="U179" s="23">
        <v>0.32</v>
      </c>
    </row>
    <row r="180" spans="20:21" x14ac:dyDescent="0.45">
      <c r="T180" s="23">
        <v>69</v>
      </c>
      <c r="U180" s="23">
        <v>0.31000000000000011</v>
      </c>
    </row>
    <row r="181" spans="20:21" x14ac:dyDescent="0.45">
      <c r="T181" s="23">
        <v>70</v>
      </c>
      <c r="U181" s="23">
        <v>0.3</v>
      </c>
    </row>
    <row r="182" spans="20:21" x14ac:dyDescent="0.45">
      <c r="T182" s="23">
        <v>71</v>
      </c>
      <c r="U182" s="23">
        <v>0.28999999999999998</v>
      </c>
    </row>
    <row r="183" spans="20:21" x14ac:dyDescent="0.45">
      <c r="T183" s="23">
        <v>72</v>
      </c>
      <c r="U183" s="23">
        <v>0.28000000000000003</v>
      </c>
    </row>
    <row r="184" spans="20:21" x14ac:dyDescent="0.45">
      <c r="T184" s="23">
        <v>73</v>
      </c>
      <c r="U184" s="23">
        <v>0.27</v>
      </c>
    </row>
    <row r="185" spans="20:21" x14ac:dyDescent="0.45">
      <c r="T185" s="23">
        <v>74</v>
      </c>
      <c r="U185" s="23">
        <v>0.26</v>
      </c>
    </row>
    <row r="186" spans="20:21" x14ac:dyDescent="0.45">
      <c r="T186" s="23">
        <v>75</v>
      </c>
      <c r="U186" s="23">
        <v>0.25</v>
      </c>
    </row>
    <row r="187" spans="20:21" x14ac:dyDescent="0.45">
      <c r="T187" s="23">
        <v>76</v>
      </c>
      <c r="U187" s="23">
        <v>0.24752475247524749</v>
      </c>
    </row>
    <row r="188" spans="20:21" x14ac:dyDescent="0.45">
      <c r="T188" s="23">
        <v>77</v>
      </c>
      <c r="U188" s="23">
        <v>0.24509803921568629</v>
      </c>
    </row>
    <row r="189" spans="20:21" x14ac:dyDescent="0.45">
      <c r="T189" s="23">
        <v>78</v>
      </c>
      <c r="U189" s="23">
        <v>0.24271844660194181</v>
      </c>
    </row>
    <row r="190" spans="20:21" x14ac:dyDescent="0.45">
      <c r="T190" s="23">
        <v>79</v>
      </c>
      <c r="U190" s="23">
        <v>0.24038461538461539</v>
      </c>
    </row>
    <row r="191" spans="20:21" x14ac:dyDescent="0.45">
      <c r="T191" s="23">
        <v>80</v>
      </c>
      <c r="U191" s="23">
        <v>0.23809523809523811</v>
      </c>
    </row>
    <row r="192" spans="20:21" x14ac:dyDescent="0.45">
      <c r="T192" s="23">
        <v>81</v>
      </c>
      <c r="U192" s="23">
        <v>0.23584905660377359</v>
      </c>
    </row>
    <row r="193" spans="20:21" x14ac:dyDescent="0.45">
      <c r="T193" s="23">
        <v>82</v>
      </c>
      <c r="U193" s="23">
        <v>0.23364485981308411</v>
      </c>
    </row>
    <row r="194" spans="20:21" x14ac:dyDescent="0.45">
      <c r="T194" s="23">
        <v>83</v>
      </c>
      <c r="U194" s="23">
        <v>0.23148148148148151</v>
      </c>
    </row>
    <row r="195" spans="20:21" x14ac:dyDescent="0.45">
      <c r="T195" s="23">
        <v>84</v>
      </c>
      <c r="U195" s="23">
        <v>0.22935779816513771</v>
      </c>
    </row>
    <row r="196" spans="20:21" x14ac:dyDescent="0.45">
      <c r="T196" s="23">
        <v>85</v>
      </c>
      <c r="U196" s="23">
        <v>0.22727272727272729</v>
      </c>
    </row>
    <row r="197" spans="20:21" x14ac:dyDescent="0.45">
      <c r="T197" s="23">
        <v>86</v>
      </c>
      <c r="U197" s="23">
        <v>0.22522522522522531</v>
      </c>
    </row>
    <row r="198" spans="20:21" x14ac:dyDescent="0.45">
      <c r="T198" s="23">
        <v>87</v>
      </c>
      <c r="U198" s="23">
        <v>0.2232142857142857</v>
      </c>
    </row>
    <row r="199" spans="20:21" x14ac:dyDescent="0.45">
      <c r="T199" s="23">
        <v>88</v>
      </c>
      <c r="U199" s="23">
        <v>0.22123893805309741</v>
      </c>
    </row>
    <row r="200" spans="20:21" x14ac:dyDescent="0.45">
      <c r="T200" s="23">
        <v>89</v>
      </c>
      <c r="U200" s="23">
        <v>0.2192982456140351</v>
      </c>
    </row>
    <row r="201" spans="20:21" x14ac:dyDescent="0.45">
      <c r="T201" s="23">
        <v>90</v>
      </c>
      <c r="U201" s="23">
        <v>0.21739130434782611</v>
      </c>
    </row>
    <row r="202" spans="20:21" x14ac:dyDescent="0.45">
      <c r="T202" s="23">
        <v>91</v>
      </c>
      <c r="U202" s="23">
        <v>0.2155172413793103</v>
      </c>
    </row>
    <row r="203" spans="20:21" x14ac:dyDescent="0.45">
      <c r="T203" s="23">
        <v>92</v>
      </c>
      <c r="U203" s="23">
        <v>0.21367521367521369</v>
      </c>
    </row>
    <row r="204" spans="20:21" x14ac:dyDescent="0.45">
      <c r="T204" s="23">
        <v>93</v>
      </c>
      <c r="U204" s="23">
        <v>0.21186440677966101</v>
      </c>
    </row>
    <row r="205" spans="20:21" x14ac:dyDescent="0.45">
      <c r="T205" s="23">
        <v>94</v>
      </c>
      <c r="U205" s="23">
        <v>0.21008403361344541</v>
      </c>
    </row>
    <row r="206" spans="20:21" x14ac:dyDescent="0.45">
      <c r="T206" s="23">
        <v>95</v>
      </c>
      <c r="U206" s="23">
        <v>0.20833333333333329</v>
      </c>
    </row>
    <row r="207" spans="20:21" x14ac:dyDescent="0.45">
      <c r="T207" s="23">
        <v>96</v>
      </c>
      <c r="U207" s="23">
        <v>0.20661157024793389</v>
      </c>
    </row>
    <row r="208" spans="20:21" x14ac:dyDescent="0.45">
      <c r="T208" s="23">
        <v>97</v>
      </c>
      <c r="U208" s="23">
        <v>0.20491803278688531</v>
      </c>
    </row>
    <row r="209" spans="20:21" x14ac:dyDescent="0.45">
      <c r="T209" s="23">
        <v>98</v>
      </c>
      <c r="U209" s="23">
        <v>0.2032520325203252</v>
      </c>
    </row>
    <row r="210" spans="20:21" x14ac:dyDescent="0.45">
      <c r="T210" s="23">
        <v>99</v>
      </c>
      <c r="U210" s="23">
        <v>0.20161290322580649</v>
      </c>
    </row>
    <row r="211" spans="20:21" x14ac:dyDescent="0.45">
      <c r="T211" s="23">
        <v>100</v>
      </c>
      <c r="U211" s="23">
        <v>0.2</v>
      </c>
    </row>
    <row r="212" spans="20:21" x14ac:dyDescent="0.45">
      <c r="T212" s="23">
        <v>101</v>
      </c>
      <c r="U212" s="23">
        <v>0.1984126984126984</v>
      </c>
    </row>
    <row r="213" spans="20:21" x14ac:dyDescent="0.45">
      <c r="T213" s="23">
        <v>102</v>
      </c>
      <c r="U213" s="23">
        <v>0.19685039370078741</v>
      </c>
    </row>
    <row r="214" spans="20:21" x14ac:dyDescent="0.45">
      <c r="T214" s="23">
        <v>103</v>
      </c>
      <c r="U214" s="23">
        <v>0.1953125</v>
      </c>
    </row>
    <row r="215" spans="20:21" x14ac:dyDescent="0.45">
      <c r="T215" s="23">
        <v>104</v>
      </c>
      <c r="U215" s="23">
        <v>0.19379844961240311</v>
      </c>
    </row>
    <row r="216" spans="20:21" x14ac:dyDescent="0.45">
      <c r="T216" s="23">
        <v>105</v>
      </c>
      <c r="U216" s="23">
        <v>0.19230769230769229</v>
      </c>
    </row>
    <row r="217" spans="20:21" x14ac:dyDescent="0.45">
      <c r="T217" s="23">
        <v>106</v>
      </c>
      <c r="U217" s="23">
        <v>0.19083969465648851</v>
      </c>
    </row>
    <row r="218" spans="20:21" x14ac:dyDescent="0.45">
      <c r="T218" s="23">
        <v>107</v>
      </c>
      <c r="U218" s="23">
        <v>0.18939393939393939</v>
      </c>
    </row>
    <row r="219" spans="20:21" x14ac:dyDescent="0.45">
      <c r="T219" s="23">
        <v>108</v>
      </c>
      <c r="U219" s="23">
        <v>0.18796992481203009</v>
      </c>
    </row>
    <row r="220" spans="20:21" x14ac:dyDescent="0.45">
      <c r="T220" s="23">
        <v>109</v>
      </c>
      <c r="U220" s="23">
        <v>0.18656716417910449</v>
      </c>
    </row>
    <row r="221" spans="20:21" x14ac:dyDescent="0.45">
      <c r="T221" s="23">
        <v>110</v>
      </c>
      <c r="U221" s="23">
        <v>0.1851851851851852</v>
      </c>
    </row>
    <row r="222" spans="20:21" x14ac:dyDescent="0.45">
      <c r="T222" s="23">
        <v>111</v>
      </c>
      <c r="U222" s="23">
        <v>0.18382352941176469</v>
      </c>
    </row>
    <row r="223" spans="20:21" x14ac:dyDescent="0.45">
      <c r="T223" s="23">
        <v>112</v>
      </c>
      <c r="U223" s="23">
        <v>0.18248175182481749</v>
      </c>
    </row>
    <row r="224" spans="20:21" x14ac:dyDescent="0.45">
      <c r="T224" s="23">
        <v>113</v>
      </c>
      <c r="U224" s="23">
        <v>0.1811594202898551</v>
      </c>
    </row>
    <row r="225" spans="20:21" x14ac:dyDescent="0.45">
      <c r="T225" s="23">
        <v>114</v>
      </c>
      <c r="U225" s="23">
        <v>0.17985611510791369</v>
      </c>
    </row>
    <row r="226" spans="20:21" x14ac:dyDescent="0.45">
      <c r="T226" s="23">
        <v>115</v>
      </c>
      <c r="U226" s="23">
        <v>0.1785714285714286</v>
      </c>
    </row>
    <row r="227" spans="20:21" x14ac:dyDescent="0.45">
      <c r="T227" s="23">
        <v>116</v>
      </c>
      <c r="U227" s="23">
        <v>0.1773049645390071</v>
      </c>
    </row>
    <row r="228" spans="20:21" x14ac:dyDescent="0.45">
      <c r="T228" s="23">
        <v>117</v>
      </c>
      <c r="U228" s="23">
        <v>0.176056338028169</v>
      </c>
    </row>
    <row r="229" spans="20:21" x14ac:dyDescent="0.45">
      <c r="T229" s="23">
        <v>118</v>
      </c>
      <c r="U229" s="23">
        <v>0.17482517482517479</v>
      </c>
    </row>
    <row r="230" spans="20:21" x14ac:dyDescent="0.45">
      <c r="T230" s="23">
        <v>119</v>
      </c>
      <c r="U230" s="23">
        <v>0.1736111111111111</v>
      </c>
    </row>
    <row r="231" spans="20:21" x14ac:dyDescent="0.45">
      <c r="T231" s="23">
        <v>120</v>
      </c>
      <c r="U231" s="23">
        <v>0.17241379310344829</v>
      </c>
    </row>
    <row r="232" spans="20:21" x14ac:dyDescent="0.45">
      <c r="T232" s="23">
        <v>121</v>
      </c>
      <c r="U232" s="23">
        <v>0.17123287671232881</v>
      </c>
    </row>
    <row r="233" spans="20:21" x14ac:dyDescent="0.45">
      <c r="T233" s="23">
        <v>122</v>
      </c>
      <c r="U233" s="23">
        <v>0.17006802721088429</v>
      </c>
    </row>
    <row r="234" spans="20:21" x14ac:dyDescent="0.45">
      <c r="T234" s="23">
        <v>123</v>
      </c>
      <c r="U234" s="23">
        <v>0.16891891891891889</v>
      </c>
    </row>
    <row r="235" spans="20:21" x14ac:dyDescent="0.45">
      <c r="T235" s="23">
        <v>124</v>
      </c>
      <c r="U235" s="23">
        <v>0.16778523489932889</v>
      </c>
    </row>
    <row r="236" spans="20:21" x14ac:dyDescent="0.45">
      <c r="T236" s="23">
        <v>125</v>
      </c>
      <c r="U236" s="23">
        <v>0.16666666666666671</v>
      </c>
    </row>
    <row r="237" spans="20:21" x14ac:dyDescent="0.45">
      <c r="T237" s="23">
        <v>126</v>
      </c>
      <c r="U237" s="23">
        <v>0.16556291390728481</v>
      </c>
    </row>
    <row r="238" spans="20:21" x14ac:dyDescent="0.45">
      <c r="T238" s="23">
        <v>127</v>
      </c>
      <c r="U238" s="23">
        <v>0.1644736842105263</v>
      </c>
    </row>
    <row r="239" spans="20:21" x14ac:dyDescent="0.45">
      <c r="T239" s="23">
        <v>128</v>
      </c>
      <c r="U239" s="23">
        <v>0.16339869281045749</v>
      </c>
    </row>
    <row r="240" spans="20:21" x14ac:dyDescent="0.45">
      <c r="T240" s="23">
        <v>129</v>
      </c>
      <c r="U240" s="23">
        <v>0.16233766233766231</v>
      </c>
    </row>
    <row r="241" spans="20:21" x14ac:dyDescent="0.45">
      <c r="T241" s="23">
        <v>130</v>
      </c>
      <c r="U241" s="23">
        <v>0.16129032258064521</v>
      </c>
    </row>
    <row r="242" spans="20:21" x14ac:dyDescent="0.45">
      <c r="T242" s="23">
        <v>131</v>
      </c>
      <c r="U242" s="23">
        <v>0.16025641025641019</v>
      </c>
    </row>
    <row r="243" spans="20:21" x14ac:dyDescent="0.45">
      <c r="T243" s="23">
        <v>132</v>
      </c>
      <c r="U243" s="23">
        <v>0.15923566878980891</v>
      </c>
    </row>
    <row r="244" spans="20:21" x14ac:dyDescent="0.45">
      <c r="T244" s="23">
        <v>133</v>
      </c>
      <c r="U244" s="23">
        <v>0.15822784810126581</v>
      </c>
    </row>
    <row r="245" spans="20:21" x14ac:dyDescent="0.45">
      <c r="T245" s="23">
        <v>134</v>
      </c>
      <c r="U245" s="23">
        <v>0.15723270440251569</v>
      </c>
    </row>
    <row r="246" spans="20:21" x14ac:dyDescent="0.45">
      <c r="T246" s="23">
        <v>135</v>
      </c>
      <c r="U246" s="23">
        <v>0.15625</v>
      </c>
    </row>
    <row r="247" spans="20:21" x14ac:dyDescent="0.45">
      <c r="T247" s="23">
        <v>136</v>
      </c>
      <c r="U247" s="23">
        <v>0.15527950310558999</v>
      </c>
    </row>
    <row r="248" spans="20:21" x14ac:dyDescent="0.45">
      <c r="T248" s="23">
        <v>137</v>
      </c>
      <c r="U248" s="23">
        <v>0.15432098765432101</v>
      </c>
    </row>
    <row r="249" spans="20:21" x14ac:dyDescent="0.45">
      <c r="T249" s="23">
        <v>138</v>
      </c>
      <c r="U249" s="23">
        <v>0.15337423312883439</v>
      </c>
    </row>
    <row r="250" spans="20:21" x14ac:dyDescent="0.45">
      <c r="T250" s="23">
        <v>139</v>
      </c>
      <c r="U250" s="23">
        <v>0.1524390243902439</v>
      </c>
    </row>
    <row r="251" spans="20:21" x14ac:dyDescent="0.45">
      <c r="T251" s="23">
        <v>140</v>
      </c>
      <c r="U251" s="23">
        <v>0.15151515151515149</v>
      </c>
    </row>
    <row r="252" spans="20:21" x14ac:dyDescent="0.45">
      <c r="T252" s="23">
        <v>141</v>
      </c>
      <c r="U252" s="23">
        <v>0.1506024096385542</v>
      </c>
    </row>
    <row r="253" spans="20:21" x14ac:dyDescent="0.45">
      <c r="T253" s="23">
        <v>142</v>
      </c>
      <c r="U253" s="23">
        <v>0.1497005988023952</v>
      </c>
    </row>
    <row r="254" spans="20:21" x14ac:dyDescent="0.45">
      <c r="T254" s="23">
        <v>143</v>
      </c>
      <c r="U254" s="23">
        <v>0.14880952380952381</v>
      </c>
    </row>
    <row r="255" spans="20:21" x14ac:dyDescent="0.45">
      <c r="T255" s="23">
        <v>144</v>
      </c>
      <c r="U255" s="23">
        <v>0.14792899408284019</v>
      </c>
    </row>
    <row r="256" spans="20:21" x14ac:dyDescent="0.45">
      <c r="T256" s="23">
        <v>145</v>
      </c>
      <c r="U256" s="23">
        <v>0.1470588235294118</v>
      </c>
    </row>
    <row r="257" spans="20:21" x14ac:dyDescent="0.45">
      <c r="T257" s="23">
        <v>146</v>
      </c>
      <c r="U257" s="23">
        <v>0.14619883040935669</v>
      </c>
    </row>
    <row r="258" spans="20:21" x14ac:dyDescent="0.45">
      <c r="T258" s="23">
        <v>147</v>
      </c>
      <c r="U258" s="23">
        <v>0.14534883720930231</v>
      </c>
    </row>
    <row r="259" spans="20:21" x14ac:dyDescent="0.45">
      <c r="T259" s="23">
        <v>148</v>
      </c>
      <c r="U259" s="23">
        <v>0.1445086705202312</v>
      </c>
    </row>
    <row r="260" spans="20:21" x14ac:dyDescent="0.45">
      <c r="T260" s="23">
        <v>149</v>
      </c>
      <c r="U260" s="23">
        <v>0.14367816091954019</v>
      </c>
    </row>
    <row r="261" spans="20:21" x14ac:dyDescent="0.45">
      <c r="T261" s="23">
        <v>150</v>
      </c>
      <c r="U261" s="23">
        <v>0.14285714285714279</v>
      </c>
    </row>
    <row r="262" spans="20:21" x14ac:dyDescent="0.45">
      <c r="T262" s="23">
        <v>151</v>
      </c>
      <c r="U262" s="23">
        <v>0.14204545454545461</v>
      </c>
    </row>
    <row r="263" spans="20:21" x14ac:dyDescent="0.45">
      <c r="T263" s="23">
        <v>152</v>
      </c>
      <c r="U263" s="23">
        <v>0.14124293785310729</v>
      </c>
    </row>
    <row r="264" spans="20:21" x14ac:dyDescent="0.45">
      <c r="T264" s="23">
        <v>153</v>
      </c>
      <c r="U264" s="23">
        <v>0.1404494382022472</v>
      </c>
    </row>
    <row r="265" spans="20:21" x14ac:dyDescent="0.45">
      <c r="T265" s="23">
        <v>154</v>
      </c>
      <c r="U265" s="23">
        <v>0.13966480446927371</v>
      </c>
    </row>
    <row r="266" spans="20:21" x14ac:dyDescent="0.45">
      <c r="T266" s="23">
        <v>155</v>
      </c>
      <c r="U266" s="23">
        <v>0.1388888888888889</v>
      </c>
    </row>
    <row r="267" spans="20:21" x14ac:dyDescent="0.45">
      <c r="T267" s="23">
        <v>156</v>
      </c>
      <c r="U267" s="23">
        <v>0.138121546961326</v>
      </c>
    </row>
    <row r="268" spans="20:21" x14ac:dyDescent="0.45">
      <c r="T268" s="23">
        <v>157</v>
      </c>
      <c r="U268" s="23">
        <v>0.13736263736263729</v>
      </c>
    </row>
    <row r="269" spans="20:21" x14ac:dyDescent="0.45">
      <c r="T269" s="23">
        <v>158</v>
      </c>
      <c r="U269" s="23">
        <v>0.13661202185792351</v>
      </c>
    </row>
    <row r="270" spans="20:21" x14ac:dyDescent="0.45">
      <c r="T270" s="23">
        <v>159</v>
      </c>
      <c r="U270" s="23">
        <v>0.1358695652173913</v>
      </c>
    </row>
    <row r="271" spans="20:21" x14ac:dyDescent="0.45">
      <c r="T271" s="23">
        <v>160</v>
      </c>
      <c r="U271" s="23">
        <v>0.13513513513513509</v>
      </c>
    </row>
    <row r="272" spans="20:21" x14ac:dyDescent="0.45">
      <c r="T272" s="23">
        <v>161</v>
      </c>
      <c r="U272" s="23">
        <v>0.1344086021505376</v>
      </c>
    </row>
    <row r="273" spans="20:21" x14ac:dyDescent="0.45">
      <c r="T273" s="23">
        <v>162</v>
      </c>
      <c r="U273" s="23">
        <v>0.13368983957219249</v>
      </c>
    </row>
    <row r="274" spans="20:21" x14ac:dyDescent="0.45">
      <c r="T274" s="23">
        <v>163</v>
      </c>
      <c r="U274" s="23">
        <v>0.13297872340425529</v>
      </c>
    </row>
    <row r="275" spans="20:21" x14ac:dyDescent="0.45">
      <c r="T275" s="23">
        <v>164</v>
      </c>
      <c r="U275" s="23">
        <v>0.1322751322751323</v>
      </c>
    </row>
    <row r="276" spans="20:21" x14ac:dyDescent="0.45">
      <c r="T276" s="23">
        <v>165</v>
      </c>
      <c r="U276" s="23">
        <v>0.13157894736842099</v>
      </c>
    </row>
    <row r="277" spans="20:21" x14ac:dyDescent="0.45">
      <c r="T277" s="23">
        <v>166</v>
      </c>
      <c r="U277" s="23">
        <v>0.13089005235602089</v>
      </c>
    </row>
    <row r="278" spans="20:21" x14ac:dyDescent="0.45">
      <c r="T278" s="23">
        <v>167</v>
      </c>
      <c r="U278" s="23">
        <v>0.13020833333333329</v>
      </c>
    </row>
    <row r="279" spans="20:21" x14ac:dyDescent="0.45">
      <c r="T279" s="23">
        <v>168</v>
      </c>
      <c r="U279" s="23">
        <v>0.1295336787564767</v>
      </c>
    </row>
    <row r="280" spans="20:21" x14ac:dyDescent="0.45">
      <c r="T280" s="23">
        <v>169</v>
      </c>
      <c r="U280" s="23">
        <v>0.12886597938144331</v>
      </c>
    </row>
    <row r="281" spans="20:21" x14ac:dyDescent="0.45">
      <c r="T281" s="23">
        <v>170</v>
      </c>
      <c r="U281" s="23">
        <v>0.12820512820512819</v>
      </c>
    </row>
    <row r="282" spans="20:21" x14ac:dyDescent="0.45">
      <c r="T282" s="23">
        <v>171</v>
      </c>
      <c r="U282" s="23">
        <v>0.1275510204081633</v>
      </c>
    </row>
    <row r="283" spans="20:21" x14ac:dyDescent="0.45">
      <c r="T283" s="23">
        <v>172</v>
      </c>
      <c r="U283" s="23">
        <v>0.12690355329949241</v>
      </c>
    </row>
    <row r="284" spans="20:21" x14ac:dyDescent="0.45">
      <c r="T284" s="23">
        <v>173</v>
      </c>
      <c r="U284" s="23">
        <v>0.1262626262626263</v>
      </c>
    </row>
    <row r="285" spans="20:21" x14ac:dyDescent="0.45">
      <c r="T285" s="23">
        <v>174</v>
      </c>
      <c r="U285" s="23">
        <v>0.1256281407035176</v>
      </c>
    </row>
    <row r="286" spans="20:21" x14ac:dyDescent="0.45">
      <c r="T286" s="23">
        <v>175</v>
      </c>
      <c r="U286" s="23">
        <v>0.125</v>
      </c>
    </row>
    <row r="287" spans="20:21" x14ac:dyDescent="0.45">
      <c r="T287" s="23">
        <v>176</v>
      </c>
      <c r="U287" s="23">
        <v>0.12437810945273629</v>
      </c>
    </row>
    <row r="288" spans="20:21" x14ac:dyDescent="0.45">
      <c r="T288" s="23">
        <v>177</v>
      </c>
      <c r="U288" s="23">
        <v>0.1237623762376238</v>
      </c>
    </row>
    <row r="289" spans="20:21" x14ac:dyDescent="0.45">
      <c r="T289" s="23">
        <v>178</v>
      </c>
      <c r="U289" s="23">
        <v>0.1231527093596059</v>
      </c>
    </row>
    <row r="290" spans="20:21" x14ac:dyDescent="0.45">
      <c r="T290" s="23">
        <v>179</v>
      </c>
      <c r="U290" s="23">
        <v>0.1225490196078431</v>
      </c>
    </row>
    <row r="291" spans="20:21" x14ac:dyDescent="0.45">
      <c r="T291" s="23">
        <v>180</v>
      </c>
      <c r="U291" s="23">
        <v>0.12195121951219511</v>
      </c>
    </row>
    <row r="292" spans="20:21" x14ac:dyDescent="0.45">
      <c r="T292" s="23">
        <v>181</v>
      </c>
      <c r="U292" s="23">
        <v>0.1213592233009709</v>
      </c>
    </row>
    <row r="293" spans="20:21" x14ac:dyDescent="0.45">
      <c r="T293" s="23">
        <v>182</v>
      </c>
      <c r="U293" s="23">
        <v>0.1207729468599034</v>
      </c>
    </row>
    <row r="294" spans="20:21" x14ac:dyDescent="0.45">
      <c r="T294" s="23">
        <v>183</v>
      </c>
      <c r="U294" s="23">
        <v>0.1201923076923077</v>
      </c>
    </row>
    <row r="295" spans="20:21" x14ac:dyDescent="0.45">
      <c r="T295" s="23">
        <v>184</v>
      </c>
      <c r="U295" s="23">
        <v>0.1196172248803828</v>
      </c>
    </row>
    <row r="296" spans="20:21" x14ac:dyDescent="0.45">
      <c r="T296" s="23">
        <v>185</v>
      </c>
      <c r="U296" s="23">
        <v>0.119047619047619</v>
      </c>
    </row>
    <row r="297" spans="20:21" x14ac:dyDescent="0.45">
      <c r="T297" s="23">
        <v>186</v>
      </c>
      <c r="U297" s="23">
        <v>0.1184834123222749</v>
      </c>
    </row>
    <row r="298" spans="20:21" x14ac:dyDescent="0.45">
      <c r="T298" s="23">
        <v>187</v>
      </c>
      <c r="U298" s="23">
        <v>0.11792452830188679</v>
      </c>
    </row>
    <row r="299" spans="20:21" x14ac:dyDescent="0.45">
      <c r="T299" s="23">
        <v>188</v>
      </c>
      <c r="U299" s="23">
        <v>0.1173708920187793</v>
      </c>
    </row>
    <row r="300" spans="20:21" x14ac:dyDescent="0.45">
      <c r="T300" s="23">
        <v>189</v>
      </c>
      <c r="U300" s="23">
        <v>0.1168224299065421</v>
      </c>
    </row>
    <row r="301" spans="20:21" x14ac:dyDescent="0.45">
      <c r="T301" s="23">
        <v>190</v>
      </c>
      <c r="U301" s="23">
        <v>0.1162790697674419</v>
      </c>
    </row>
    <row r="302" spans="20:21" x14ac:dyDescent="0.45">
      <c r="T302" s="23">
        <v>191</v>
      </c>
      <c r="U302" s="23">
        <v>0.1157407407407407</v>
      </c>
    </row>
    <row r="303" spans="20:21" x14ac:dyDescent="0.45">
      <c r="T303" s="23">
        <v>192</v>
      </c>
      <c r="U303" s="23">
        <v>0.1152073732718894</v>
      </c>
    </row>
    <row r="304" spans="20:21" x14ac:dyDescent="0.45">
      <c r="T304" s="23">
        <v>193</v>
      </c>
      <c r="U304" s="23">
        <v>0.1146788990825688</v>
      </c>
    </row>
    <row r="305" spans="20:21" x14ac:dyDescent="0.45">
      <c r="T305" s="23">
        <v>194</v>
      </c>
      <c r="U305" s="23">
        <v>0.11415525114155251</v>
      </c>
    </row>
    <row r="306" spans="20:21" x14ac:dyDescent="0.45">
      <c r="T306" s="23">
        <v>195</v>
      </c>
      <c r="U306" s="23">
        <v>0.1136363636363636</v>
      </c>
    </row>
    <row r="307" spans="20:21" x14ac:dyDescent="0.45">
      <c r="T307" s="23">
        <v>196</v>
      </c>
      <c r="U307" s="23">
        <v>0.1131221719457014</v>
      </c>
    </row>
    <row r="308" spans="20:21" x14ac:dyDescent="0.45">
      <c r="T308" s="23">
        <v>197</v>
      </c>
      <c r="U308" s="23">
        <v>0.1126126126126126</v>
      </c>
    </row>
    <row r="309" spans="20:21" x14ac:dyDescent="0.45">
      <c r="T309" s="23">
        <v>198</v>
      </c>
      <c r="U309" s="23">
        <v>0.1121076233183857</v>
      </c>
    </row>
    <row r="310" spans="20:21" x14ac:dyDescent="0.45">
      <c r="T310" s="23">
        <v>199</v>
      </c>
      <c r="U310" s="23">
        <v>0.11160714285714279</v>
      </c>
    </row>
    <row r="311" spans="20:21" x14ac:dyDescent="0.45">
      <c r="T311" s="23">
        <v>200</v>
      </c>
      <c r="U311" s="23">
        <v>0.1111111111111111</v>
      </c>
    </row>
    <row r="312" spans="20:21" x14ac:dyDescent="0.45">
      <c r="T312" s="23">
        <v>201</v>
      </c>
      <c r="U312" s="23">
        <v>0.11061946902654871</v>
      </c>
    </row>
    <row r="313" spans="20:21" x14ac:dyDescent="0.45">
      <c r="T313" s="23">
        <v>202</v>
      </c>
      <c r="U313" s="23">
        <v>0.11013215859030839</v>
      </c>
    </row>
    <row r="314" spans="20:21" x14ac:dyDescent="0.45">
      <c r="T314" s="23">
        <v>203</v>
      </c>
      <c r="U314" s="23">
        <v>0.10964912280701759</v>
      </c>
    </row>
    <row r="315" spans="20:21" x14ac:dyDescent="0.45">
      <c r="T315" s="23">
        <v>204</v>
      </c>
      <c r="U315" s="23">
        <v>0.1091703056768559</v>
      </c>
    </row>
    <row r="316" spans="20:21" x14ac:dyDescent="0.45">
      <c r="T316" s="23">
        <v>205</v>
      </c>
      <c r="U316" s="23">
        <v>0.1086956521739131</v>
      </c>
    </row>
    <row r="317" spans="20:21" x14ac:dyDescent="0.45">
      <c r="T317" s="23">
        <v>206</v>
      </c>
      <c r="U317" s="23">
        <v>0.1082251082251082</v>
      </c>
    </row>
    <row r="318" spans="20:21" x14ac:dyDescent="0.45">
      <c r="T318" s="23">
        <v>207</v>
      </c>
      <c r="U318" s="23">
        <v>0.10775862068965519</v>
      </c>
    </row>
    <row r="319" spans="20:21" x14ac:dyDescent="0.45">
      <c r="T319" s="23">
        <v>208</v>
      </c>
      <c r="U319" s="23">
        <v>0.1072961373390558</v>
      </c>
    </row>
    <row r="320" spans="20:21" x14ac:dyDescent="0.45">
      <c r="T320" s="23">
        <v>209</v>
      </c>
      <c r="U320" s="23">
        <v>0.1068376068376068</v>
      </c>
    </row>
    <row r="321" spans="20:21" x14ac:dyDescent="0.45">
      <c r="T321" s="23">
        <v>210</v>
      </c>
      <c r="U321" s="23">
        <v>0.1063829787234043</v>
      </c>
    </row>
    <row r="322" spans="20:21" x14ac:dyDescent="0.45">
      <c r="T322" s="23">
        <v>211</v>
      </c>
      <c r="U322" s="23">
        <v>0.1059322033898305</v>
      </c>
    </row>
    <row r="323" spans="20:21" x14ac:dyDescent="0.45">
      <c r="T323" s="23">
        <v>212</v>
      </c>
      <c r="U323" s="23">
        <v>0.1054852320675105</v>
      </c>
    </row>
    <row r="324" spans="20:21" x14ac:dyDescent="0.45">
      <c r="T324" s="23">
        <v>213</v>
      </c>
      <c r="U324" s="23">
        <v>0.1050420168067227</v>
      </c>
    </row>
    <row r="325" spans="20:21" x14ac:dyDescent="0.45">
      <c r="T325" s="23">
        <v>214</v>
      </c>
      <c r="U325" s="23">
        <v>0.104602510460251</v>
      </c>
    </row>
    <row r="326" spans="20:21" x14ac:dyDescent="0.45">
      <c r="T326" s="23">
        <v>215</v>
      </c>
      <c r="U326" s="23">
        <v>0.1041666666666667</v>
      </c>
    </row>
    <row r="327" spans="20:21" x14ac:dyDescent="0.45">
      <c r="T327" s="23">
        <v>216</v>
      </c>
      <c r="U327" s="23">
        <v>0.1037344398340249</v>
      </c>
    </row>
    <row r="328" spans="20:21" x14ac:dyDescent="0.45">
      <c r="T328" s="23">
        <v>217</v>
      </c>
      <c r="U328" s="23">
        <v>0.1033057851239669</v>
      </c>
    </row>
    <row r="329" spans="20:21" x14ac:dyDescent="0.45">
      <c r="T329" s="23">
        <v>218</v>
      </c>
      <c r="U329" s="23">
        <v>0.102880658436214</v>
      </c>
    </row>
    <row r="330" spans="20:21" x14ac:dyDescent="0.45">
      <c r="T330" s="23">
        <v>219</v>
      </c>
      <c r="U330" s="23">
        <v>0.1024590163934426</v>
      </c>
    </row>
    <row r="331" spans="20:21" x14ac:dyDescent="0.45">
      <c r="T331" s="23">
        <v>220</v>
      </c>
      <c r="U331" s="23">
        <v>0.1020408163265306</v>
      </c>
    </row>
    <row r="332" spans="20:21" x14ac:dyDescent="0.45">
      <c r="T332" s="23">
        <v>221</v>
      </c>
      <c r="U332" s="23">
        <v>0.1016260162601626</v>
      </c>
    </row>
    <row r="333" spans="20:21" x14ac:dyDescent="0.45">
      <c r="T333" s="23">
        <v>222</v>
      </c>
      <c r="U333" s="23">
        <v>0.10121457489878539</v>
      </c>
    </row>
    <row r="334" spans="20:21" x14ac:dyDescent="0.45">
      <c r="T334" s="23">
        <v>223</v>
      </c>
      <c r="U334" s="23">
        <v>0.10080645161290321</v>
      </c>
    </row>
    <row r="335" spans="20:21" x14ac:dyDescent="0.45">
      <c r="T335" s="23">
        <v>224</v>
      </c>
      <c r="U335" s="23">
        <v>0.1004016064257028</v>
      </c>
    </row>
    <row r="336" spans="20:21" x14ac:dyDescent="0.45">
      <c r="T336" s="23">
        <v>225</v>
      </c>
      <c r="U336" s="23">
        <v>0.1</v>
      </c>
    </row>
    <row r="337" spans="20:21" x14ac:dyDescent="0.45">
      <c r="T337" s="23">
        <v>226</v>
      </c>
      <c r="U337" s="23">
        <v>9.9601593625498017E-2</v>
      </c>
    </row>
    <row r="338" spans="20:21" x14ac:dyDescent="0.45">
      <c r="T338" s="23">
        <v>227</v>
      </c>
      <c r="U338" s="23">
        <v>9.9206349206349201E-2</v>
      </c>
    </row>
    <row r="339" spans="20:21" x14ac:dyDescent="0.45">
      <c r="T339" s="23">
        <v>228</v>
      </c>
      <c r="U339" s="23">
        <v>9.881422924901187E-2</v>
      </c>
    </row>
    <row r="340" spans="20:21" x14ac:dyDescent="0.45">
      <c r="T340" s="23">
        <v>229</v>
      </c>
      <c r="U340" s="23">
        <v>9.8425196850393692E-2</v>
      </c>
    </row>
    <row r="341" spans="20:21" x14ac:dyDescent="0.45">
      <c r="T341" s="23">
        <v>230</v>
      </c>
      <c r="U341" s="23">
        <v>9.8039215686274522E-2</v>
      </c>
    </row>
    <row r="342" spans="20:21" x14ac:dyDescent="0.45">
      <c r="T342" s="23">
        <v>231</v>
      </c>
      <c r="U342" s="23">
        <v>9.765625E-2</v>
      </c>
    </row>
    <row r="343" spans="20:21" x14ac:dyDescent="0.45">
      <c r="T343" s="23">
        <v>232</v>
      </c>
      <c r="U343" s="23">
        <v>9.727626459143969E-2</v>
      </c>
    </row>
    <row r="344" spans="20:21" x14ac:dyDescent="0.45">
      <c r="T344" s="23">
        <v>233</v>
      </c>
      <c r="U344" s="23">
        <v>9.6899224806201542E-2</v>
      </c>
    </row>
    <row r="345" spans="20:21" x14ac:dyDescent="0.45">
      <c r="T345" s="23">
        <v>234</v>
      </c>
      <c r="U345" s="23">
        <v>9.6525096525096526E-2</v>
      </c>
    </row>
    <row r="346" spans="20:21" x14ac:dyDescent="0.45">
      <c r="T346" s="23">
        <v>235</v>
      </c>
      <c r="U346" s="23">
        <v>9.6153846153846145E-2</v>
      </c>
    </row>
    <row r="347" spans="20:21" x14ac:dyDescent="0.45">
      <c r="T347" s="23">
        <v>236</v>
      </c>
      <c r="U347" s="23">
        <v>9.5785440613026823E-2</v>
      </c>
    </row>
    <row r="348" spans="20:21" x14ac:dyDescent="0.45">
      <c r="T348" s="23">
        <v>237</v>
      </c>
      <c r="U348" s="23">
        <v>9.5419847328244267E-2</v>
      </c>
    </row>
    <row r="349" spans="20:21" x14ac:dyDescent="0.45">
      <c r="T349" s="23">
        <v>238</v>
      </c>
      <c r="U349" s="23">
        <v>9.5057034220532327E-2</v>
      </c>
    </row>
    <row r="350" spans="20:21" x14ac:dyDescent="0.45">
      <c r="T350" s="23">
        <v>239</v>
      </c>
      <c r="U350" s="23">
        <v>9.4696969696969696E-2</v>
      </c>
    </row>
    <row r="351" spans="20:21" x14ac:dyDescent="0.45">
      <c r="T351" s="23">
        <v>240</v>
      </c>
      <c r="U351" s="23">
        <v>9.4339622641509441E-2</v>
      </c>
    </row>
    <row r="352" spans="20:21" x14ac:dyDescent="0.45">
      <c r="T352" s="23">
        <v>241</v>
      </c>
      <c r="U352" s="23">
        <v>9.3984962406015032E-2</v>
      </c>
    </row>
    <row r="353" spans="20:21" x14ac:dyDescent="0.45">
      <c r="T353" s="23">
        <v>242</v>
      </c>
      <c r="U353" s="23">
        <v>9.3632958801498134E-2</v>
      </c>
    </row>
    <row r="354" spans="20:21" x14ac:dyDescent="0.45">
      <c r="T354" s="23">
        <v>243</v>
      </c>
      <c r="U354" s="23">
        <v>9.3283582089552231E-2</v>
      </c>
    </row>
    <row r="355" spans="20:21" x14ac:dyDescent="0.45">
      <c r="T355" s="23">
        <v>244</v>
      </c>
      <c r="U355" s="23">
        <v>9.2936802973977703E-2</v>
      </c>
    </row>
    <row r="356" spans="20:21" x14ac:dyDescent="0.45">
      <c r="T356" s="23">
        <v>245</v>
      </c>
      <c r="U356" s="23">
        <v>9.2592592592592587E-2</v>
      </c>
    </row>
    <row r="357" spans="20:21" x14ac:dyDescent="0.45">
      <c r="T357" s="23">
        <v>246</v>
      </c>
      <c r="U357" s="23">
        <v>9.2250922509225092E-2</v>
      </c>
    </row>
    <row r="358" spans="20:21" x14ac:dyDescent="0.45">
      <c r="T358" s="23">
        <v>247</v>
      </c>
      <c r="U358" s="23">
        <v>9.1911764705882346E-2</v>
      </c>
    </row>
    <row r="359" spans="20:21" x14ac:dyDescent="0.45">
      <c r="T359" s="23">
        <v>248</v>
      </c>
      <c r="U359" s="23">
        <v>9.1575091575091569E-2</v>
      </c>
    </row>
    <row r="360" spans="20:21" x14ac:dyDescent="0.45">
      <c r="T360" s="23">
        <v>249</v>
      </c>
      <c r="U360" s="23">
        <v>9.1240875912408759E-2</v>
      </c>
    </row>
    <row r="361" spans="20:21" x14ac:dyDescent="0.45">
      <c r="T361" s="23">
        <v>250</v>
      </c>
      <c r="U361" s="23">
        <v>9.0909090909090912E-2</v>
      </c>
    </row>
    <row r="362" spans="20:21" x14ac:dyDescent="0.45">
      <c r="T362" s="23">
        <v>251</v>
      </c>
      <c r="U362" s="23">
        <v>9.057971014492755E-2</v>
      </c>
    </row>
    <row r="363" spans="20:21" x14ac:dyDescent="0.45">
      <c r="T363" s="23">
        <v>252</v>
      </c>
      <c r="U363" s="23">
        <v>9.0252707581227443E-2</v>
      </c>
    </row>
    <row r="364" spans="20:21" x14ac:dyDescent="0.45">
      <c r="T364" s="23">
        <v>253</v>
      </c>
      <c r="U364" s="23">
        <v>8.9928057553956844E-2</v>
      </c>
    </row>
    <row r="365" spans="20:21" x14ac:dyDescent="0.45">
      <c r="T365" s="23">
        <v>254</v>
      </c>
      <c r="U365" s="23">
        <v>8.9605734767025089E-2</v>
      </c>
    </row>
    <row r="366" spans="20:21" x14ac:dyDescent="0.45">
      <c r="T366" s="23">
        <v>255</v>
      </c>
      <c r="U366" s="23">
        <v>8.9285714285714288E-2</v>
      </c>
    </row>
    <row r="367" spans="20:21" x14ac:dyDescent="0.45">
      <c r="T367" s="23">
        <v>256</v>
      </c>
      <c r="U367" s="23">
        <v>8.8967971530249115E-2</v>
      </c>
    </row>
    <row r="368" spans="20:21" x14ac:dyDescent="0.45">
      <c r="T368" s="23">
        <v>257</v>
      </c>
      <c r="U368" s="23">
        <v>8.8652482269503549E-2</v>
      </c>
    </row>
    <row r="369" spans="20:21" x14ac:dyDescent="0.45">
      <c r="T369" s="23">
        <v>258</v>
      </c>
      <c r="U369" s="23">
        <v>8.8339222614840993E-2</v>
      </c>
    </row>
    <row r="370" spans="20:21" x14ac:dyDescent="0.45">
      <c r="T370" s="23">
        <v>259</v>
      </c>
      <c r="U370" s="23">
        <v>8.8028169014084515E-2</v>
      </c>
    </row>
    <row r="371" spans="20:21" x14ac:dyDescent="0.45">
      <c r="T371" s="23">
        <v>260</v>
      </c>
      <c r="U371" s="23">
        <v>8.771929824561403E-2</v>
      </c>
    </row>
    <row r="372" spans="20:21" x14ac:dyDescent="0.45">
      <c r="T372" s="23">
        <v>261</v>
      </c>
      <c r="U372" s="23">
        <v>8.7412587412587422E-2</v>
      </c>
    </row>
    <row r="373" spans="20:21" x14ac:dyDescent="0.45">
      <c r="T373" s="23">
        <v>262</v>
      </c>
      <c r="U373" s="23">
        <v>8.7108013937282222E-2</v>
      </c>
    </row>
    <row r="374" spans="20:21" x14ac:dyDescent="0.45">
      <c r="T374" s="23">
        <v>263</v>
      </c>
      <c r="U374" s="23">
        <v>8.6805555555555552E-2</v>
      </c>
    </row>
    <row r="375" spans="20:21" x14ac:dyDescent="0.45">
      <c r="T375" s="23">
        <v>264</v>
      </c>
      <c r="U375" s="23">
        <v>8.6505190311418678E-2</v>
      </c>
    </row>
    <row r="376" spans="20:21" x14ac:dyDescent="0.45">
      <c r="T376" s="23">
        <v>265</v>
      </c>
      <c r="U376" s="23">
        <v>8.6206896551724144E-2</v>
      </c>
    </row>
    <row r="377" spans="20:21" x14ac:dyDescent="0.45">
      <c r="T377" s="23">
        <v>266</v>
      </c>
      <c r="U377" s="23">
        <v>8.5910652920962199E-2</v>
      </c>
    </row>
    <row r="378" spans="20:21" x14ac:dyDescent="0.45">
      <c r="T378" s="23">
        <v>267</v>
      </c>
      <c r="U378" s="23">
        <v>8.5616438356164379E-2</v>
      </c>
    </row>
    <row r="379" spans="20:21" x14ac:dyDescent="0.45">
      <c r="T379" s="23">
        <v>268</v>
      </c>
      <c r="U379" s="23">
        <v>8.5324232081911255E-2</v>
      </c>
    </row>
    <row r="380" spans="20:21" x14ac:dyDescent="0.45">
      <c r="T380" s="23">
        <v>269</v>
      </c>
      <c r="U380" s="23">
        <v>8.5034013605442174E-2</v>
      </c>
    </row>
    <row r="381" spans="20:21" x14ac:dyDescent="0.45">
      <c r="T381" s="23">
        <v>270</v>
      </c>
      <c r="U381" s="23">
        <v>8.4745762711864403E-2</v>
      </c>
    </row>
    <row r="382" spans="20:21" x14ac:dyDescent="0.45">
      <c r="T382" s="23">
        <v>271</v>
      </c>
      <c r="U382" s="23">
        <v>8.4459459459459457E-2</v>
      </c>
    </row>
    <row r="383" spans="20:21" x14ac:dyDescent="0.45">
      <c r="T383" s="23">
        <v>272</v>
      </c>
      <c r="U383" s="23">
        <v>8.4175084175084167E-2</v>
      </c>
    </row>
    <row r="384" spans="20:21" x14ac:dyDescent="0.45">
      <c r="T384" s="23">
        <v>273</v>
      </c>
      <c r="U384" s="23">
        <v>8.3892617449664433E-2</v>
      </c>
    </row>
    <row r="385" spans="20:21" x14ac:dyDescent="0.45">
      <c r="T385" s="23">
        <v>274</v>
      </c>
      <c r="U385" s="23">
        <v>8.3612040133779264E-2</v>
      </c>
    </row>
    <row r="386" spans="20:21" x14ac:dyDescent="0.45">
      <c r="T386" s="23">
        <v>275</v>
      </c>
      <c r="U386" s="23">
        <v>8.3333333333333329E-2</v>
      </c>
    </row>
    <row r="387" spans="20:21" x14ac:dyDescent="0.45">
      <c r="T387" s="23">
        <v>276</v>
      </c>
      <c r="U387" s="23">
        <v>8.3056478405315617E-2</v>
      </c>
    </row>
    <row r="388" spans="20:21" x14ac:dyDescent="0.45">
      <c r="T388" s="23">
        <v>277</v>
      </c>
      <c r="U388" s="23">
        <v>8.2781456953642391E-2</v>
      </c>
    </row>
    <row r="389" spans="20:21" x14ac:dyDescent="0.45">
      <c r="T389" s="23">
        <v>278</v>
      </c>
      <c r="U389" s="23">
        <v>8.2508250825082508E-2</v>
      </c>
    </row>
    <row r="390" spans="20:21" x14ac:dyDescent="0.45">
      <c r="T390" s="23">
        <v>279</v>
      </c>
      <c r="U390" s="23">
        <v>8.2236842105263164E-2</v>
      </c>
    </row>
    <row r="391" spans="20:21" x14ac:dyDescent="0.45">
      <c r="T391" s="23">
        <v>280</v>
      </c>
      <c r="U391" s="23">
        <v>8.1967213114754106E-2</v>
      </c>
    </row>
    <row r="392" spans="20:21" x14ac:dyDescent="0.45">
      <c r="T392" s="23">
        <v>281</v>
      </c>
      <c r="U392" s="23">
        <v>8.1699346405228759E-2</v>
      </c>
    </row>
    <row r="393" spans="20:21" x14ac:dyDescent="0.45">
      <c r="T393" s="23">
        <v>282</v>
      </c>
      <c r="U393" s="23">
        <v>8.1433224755700334E-2</v>
      </c>
    </row>
    <row r="394" spans="20:21" x14ac:dyDescent="0.45">
      <c r="T394" s="23">
        <v>283</v>
      </c>
      <c r="U394" s="23">
        <v>8.1168831168831168E-2</v>
      </c>
    </row>
    <row r="395" spans="20:21" x14ac:dyDescent="0.45">
      <c r="T395" s="23">
        <v>284</v>
      </c>
      <c r="U395" s="23">
        <v>8.0906148867313926E-2</v>
      </c>
    </row>
    <row r="396" spans="20:21" x14ac:dyDescent="0.45">
      <c r="T396" s="23">
        <v>285</v>
      </c>
      <c r="U396" s="23">
        <v>8.0645161290322578E-2</v>
      </c>
    </row>
    <row r="397" spans="20:21" x14ac:dyDescent="0.45">
      <c r="T397" s="23">
        <v>286</v>
      </c>
      <c r="U397" s="23">
        <v>8.0385852090032156E-2</v>
      </c>
    </row>
    <row r="398" spans="20:21" x14ac:dyDescent="0.45">
      <c r="T398" s="23">
        <v>287</v>
      </c>
      <c r="U398" s="23">
        <v>8.0128205128205121E-2</v>
      </c>
    </row>
    <row r="399" spans="20:21" x14ac:dyDescent="0.45">
      <c r="T399" s="23">
        <v>288</v>
      </c>
      <c r="U399" s="23">
        <v>7.9872204472843447E-2</v>
      </c>
    </row>
    <row r="400" spans="20:21" x14ac:dyDescent="0.45">
      <c r="T400" s="23">
        <v>289</v>
      </c>
      <c r="U400" s="23">
        <v>7.9617834394904455E-2</v>
      </c>
    </row>
    <row r="401" spans="20:21" x14ac:dyDescent="0.45">
      <c r="T401" s="23">
        <v>290</v>
      </c>
      <c r="U401" s="23">
        <v>7.9365079365079361E-2</v>
      </c>
    </row>
    <row r="402" spans="20:21" x14ac:dyDescent="0.45">
      <c r="T402" s="23">
        <v>291</v>
      </c>
      <c r="U402" s="23">
        <v>7.9113924050632903E-2</v>
      </c>
    </row>
    <row r="403" spans="20:21" x14ac:dyDescent="0.45">
      <c r="T403" s="23">
        <v>292</v>
      </c>
      <c r="U403" s="23">
        <v>7.8864353312302835E-2</v>
      </c>
    </row>
    <row r="404" spans="20:21" x14ac:dyDescent="0.45">
      <c r="T404" s="23">
        <v>293</v>
      </c>
      <c r="U404" s="23">
        <v>7.8616352201257858E-2</v>
      </c>
    </row>
    <row r="405" spans="20:21" x14ac:dyDescent="0.45">
      <c r="T405" s="23">
        <v>294</v>
      </c>
      <c r="U405" s="23">
        <v>7.8369905956112859E-2</v>
      </c>
    </row>
    <row r="406" spans="20:21" x14ac:dyDescent="0.45">
      <c r="T406" s="23">
        <v>295</v>
      </c>
      <c r="U406" s="23">
        <v>7.8125E-2</v>
      </c>
    </row>
    <row r="407" spans="20:21" x14ac:dyDescent="0.45">
      <c r="T407" s="23">
        <v>296</v>
      </c>
      <c r="U407" s="23">
        <v>7.7881619937694699E-2</v>
      </c>
    </row>
    <row r="408" spans="20:21" x14ac:dyDescent="0.45">
      <c r="T408" s="23">
        <v>297</v>
      </c>
      <c r="U408" s="23">
        <v>7.7639751552795025E-2</v>
      </c>
    </row>
    <row r="409" spans="20:21" x14ac:dyDescent="0.45">
      <c r="T409" s="23">
        <v>298</v>
      </c>
      <c r="U409" s="23">
        <v>7.7399380804953566E-2</v>
      </c>
    </row>
    <row r="410" spans="20:21" x14ac:dyDescent="0.45">
      <c r="T410" s="23">
        <v>299</v>
      </c>
      <c r="U410" s="23">
        <v>7.716049382716049E-2</v>
      </c>
    </row>
    <row r="411" spans="20:21" x14ac:dyDescent="0.45">
      <c r="T411" s="23">
        <v>300</v>
      </c>
      <c r="U411" s="23">
        <v>7.6923076923076927E-2</v>
      </c>
    </row>
  </sheetData>
  <phoneticPr fontId="1"/>
  <dataValidations count="1">
    <dataValidation type="list" allowBlank="1" showInputMessage="1" showErrorMessage="1" sqref="E14" xr:uid="{D1297778-7C5C-4966-83B7-DFEE5A02DEB6}">
      <formula1>$T$2:$T$3</formula1>
    </dataValidation>
  </dataValidations>
  <hyperlinks>
    <hyperlink ref="D3" r:id="rId1" xr:uid="{83F0A0AB-A960-4D3A-AFE6-2B43B0CC464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攻撃リセット">
                <anchor moveWithCells="1">
                  <from>
                    <xdr:col>9</xdr:col>
                    <xdr:colOff>91440</xdr:colOff>
                    <xdr:row>6</xdr:row>
                    <xdr:rowOff>83820</xdr:rowOff>
                  </from>
                  <to>
                    <xdr:col>10</xdr:col>
                    <xdr:colOff>304800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クリア">
                <anchor moveWithCells="1">
                  <from>
                    <xdr:col>5</xdr:col>
                    <xdr:colOff>38100</xdr:colOff>
                    <xdr:row>6</xdr:row>
                    <xdr:rowOff>83820</xdr:rowOff>
                  </from>
                  <to>
                    <xdr:col>5</xdr:col>
                    <xdr:colOff>617220</xdr:colOff>
                    <xdr:row>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78136-5CA2-42CD-8569-CD92B7E19DB5}">
  <dimension ref="B2:S27"/>
  <sheetViews>
    <sheetView tabSelected="1" zoomScale="145" zoomScaleNormal="145" workbookViewId="0">
      <selection activeCell="I7" sqref="I7"/>
    </sheetView>
  </sheetViews>
  <sheetFormatPr defaultRowHeight="18" x14ac:dyDescent="0.45"/>
  <cols>
    <col min="2" max="2" width="12.3984375" bestFit="1" customWidth="1"/>
    <col min="3" max="3" width="9.296875" bestFit="1" customWidth="1"/>
    <col min="8" max="8" width="9.8984375" customWidth="1"/>
  </cols>
  <sheetData>
    <row r="2" spans="2:19" x14ac:dyDescent="0.45">
      <c r="B2" t="s">
        <v>106</v>
      </c>
      <c r="F2" t="s">
        <v>1</v>
      </c>
      <c r="I2" t="s">
        <v>2</v>
      </c>
      <c r="L2" t="s">
        <v>0</v>
      </c>
      <c r="O2" t="s">
        <v>117</v>
      </c>
      <c r="R2" t="s">
        <v>126</v>
      </c>
    </row>
    <row r="3" spans="2:19" x14ac:dyDescent="0.45">
      <c r="B3" t="s">
        <v>107</v>
      </c>
      <c r="C3">
        <v>359</v>
      </c>
      <c r="F3" t="s">
        <v>115</v>
      </c>
      <c r="G3" s="20">
        <v>1</v>
      </c>
      <c r="I3" t="s">
        <v>116</v>
      </c>
      <c r="J3" s="20">
        <v>0.32</v>
      </c>
      <c r="L3" t="s">
        <v>115</v>
      </c>
      <c r="M3" s="20">
        <v>0.3</v>
      </c>
      <c r="O3" t="s">
        <v>118</v>
      </c>
      <c r="P3" s="29">
        <v>0.46600000000000003</v>
      </c>
      <c r="R3" t="s">
        <v>127</v>
      </c>
      <c r="S3" s="20">
        <v>0.15</v>
      </c>
    </row>
    <row r="4" spans="2:19" x14ac:dyDescent="0.45">
      <c r="B4" t="s">
        <v>110</v>
      </c>
      <c r="C4" s="29">
        <v>0.38400000000000001</v>
      </c>
      <c r="I4" t="s">
        <v>112</v>
      </c>
      <c r="J4" s="20">
        <v>0.6</v>
      </c>
      <c r="O4" t="s">
        <v>119</v>
      </c>
    </row>
    <row r="5" spans="2:19" x14ac:dyDescent="0.45">
      <c r="O5" t="s">
        <v>113</v>
      </c>
      <c r="P5" s="29">
        <v>0.46600000000000003</v>
      </c>
    </row>
    <row r="6" spans="2:19" x14ac:dyDescent="0.45">
      <c r="B6" t="s">
        <v>108</v>
      </c>
      <c r="O6" t="s">
        <v>120</v>
      </c>
      <c r="P6" s="29">
        <v>0.46600000000000003</v>
      </c>
    </row>
    <row r="7" spans="2:19" x14ac:dyDescent="0.45">
      <c r="B7" t="s">
        <v>107</v>
      </c>
      <c r="C7">
        <v>674</v>
      </c>
      <c r="O7" t="s">
        <v>121</v>
      </c>
      <c r="P7" s="29">
        <v>0.311</v>
      </c>
    </row>
    <row r="8" spans="2:19" x14ac:dyDescent="0.45">
      <c r="B8" t="s">
        <v>111</v>
      </c>
      <c r="C8" s="29">
        <v>0.221</v>
      </c>
    </row>
    <row r="9" spans="2:19" x14ac:dyDescent="0.45">
      <c r="B9" t="s">
        <v>109</v>
      </c>
    </row>
    <row r="10" spans="2:19" x14ac:dyDescent="0.45">
      <c r="B10" t="s">
        <v>112</v>
      </c>
      <c r="C10" s="20">
        <v>0.4</v>
      </c>
    </row>
    <row r="11" spans="2:19" x14ac:dyDescent="0.45">
      <c r="B11" t="s">
        <v>113</v>
      </c>
      <c r="C11" s="20">
        <v>0.48</v>
      </c>
    </row>
    <row r="12" spans="2:19" x14ac:dyDescent="0.45">
      <c r="B12" t="s">
        <v>130</v>
      </c>
      <c r="C12" s="20">
        <v>1.1000000000000001</v>
      </c>
    </row>
    <row r="13" spans="2:19" x14ac:dyDescent="0.45">
      <c r="B13" t="s">
        <v>114</v>
      </c>
      <c r="C13">
        <f>C3+C7</f>
        <v>1033</v>
      </c>
    </row>
    <row r="15" spans="2:19" x14ac:dyDescent="0.45">
      <c r="C15" t="s">
        <v>128</v>
      </c>
      <c r="E15" t="s">
        <v>129</v>
      </c>
    </row>
    <row r="16" spans="2:19" x14ac:dyDescent="0.45">
      <c r="B16" t="s">
        <v>122</v>
      </c>
      <c r="C16" s="31">
        <f>C11+J3+P3+C12</f>
        <v>2.3660000000000001</v>
      </c>
      <c r="E16" s="30">
        <f>C11+J3+P3+P5+C12</f>
        <v>2.8319999999999999</v>
      </c>
    </row>
    <row r="17" spans="2:9" x14ac:dyDescent="0.45">
      <c r="B17" t="s">
        <v>123</v>
      </c>
      <c r="C17" s="30">
        <f>C8+P7+S3</f>
        <v>0.68200000000000005</v>
      </c>
      <c r="E17" s="30">
        <f>C8+P7+S3</f>
        <v>0.68200000000000005</v>
      </c>
    </row>
    <row r="18" spans="2:9" x14ac:dyDescent="0.45">
      <c r="B18" t="s">
        <v>124</v>
      </c>
      <c r="C18" s="30">
        <f>C4+C10+J4+0.5</f>
        <v>1.8839999999999999</v>
      </c>
      <c r="E18" s="30">
        <f>C4+C10+J4+0.5</f>
        <v>1.8839999999999999</v>
      </c>
    </row>
    <row r="19" spans="2:9" x14ac:dyDescent="0.45">
      <c r="B19" t="s">
        <v>125</v>
      </c>
      <c r="C19" s="32">
        <f>G3+M3+P6</f>
        <v>1.766</v>
      </c>
      <c r="E19" s="30">
        <f>G3+M3</f>
        <v>1.3</v>
      </c>
    </row>
    <row r="20" spans="2:9" x14ac:dyDescent="0.45">
      <c r="C20">
        <v>8050</v>
      </c>
      <c r="D20" t="s">
        <v>134</v>
      </c>
      <c r="E20">
        <v>8001</v>
      </c>
    </row>
    <row r="22" spans="2:9" x14ac:dyDescent="0.45">
      <c r="C22" t="s">
        <v>131</v>
      </c>
      <c r="E22" t="s">
        <v>132</v>
      </c>
    </row>
    <row r="23" spans="2:9" x14ac:dyDescent="0.45">
      <c r="B23" t="s">
        <v>122</v>
      </c>
      <c r="C23" s="30">
        <f>C11+J3+P3+C12</f>
        <v>2.3660000000000001</v>
      </c>
      <c r="E23" s="30">
        <f>C11+J3+P3+C12</f>
        <v>2.3660000000000001</v>
      </c>
      <c r="H23" t="s">
        <v>133</v>
      </c>
      <c r="I23">
        <f>31.8+71.6</f>
        <v>103.39999999999999</v>
      </c>
    </row>
    <row r="24" spans="2:9" x14ac:dyDescent="0.45">
      <c r="B24" t="s">
        <v>123</v>
      </c>
      <c r="C24" s="30">
        <v>1</v>
      </c>
      <c r="E24" s="30">
        <v>1</v>
      </c>
    </row>
    <row r="25" spans="2:9" x14ac:dyDescent="0.45">
      <c r="B25" t="s">
        <v>124</v>
      </c>
      <c r="C25" s="30">
        <v>2.5</v>
      </c>
      <c r="E25" s="30">
        <v>3.22</v>
      </c>
    </row>
    <row r="26" spans="2:9" x14ac:dyDescent="0.45">
      <c r="B26" t="s">
        <v>125</v>
      </c>
      <c r="C26" s="30">
        <f>G3+M3+P6+0.75</f>
        <v>2.516</v>
      </c>
      <c r="E26" s="30">
        <f>G3+M3+P6</f>
        <v>1.766</v>
      </c>
    </row>
    <row r="27" spans="2:9" x14ac:dyDescent="0.45">
      <c r="C27">
        <v>18183</v>
      </c>
      <c r="E27">
        <v>17247</v>
      </c>
      <c r="H27">
        <f>E27/C27</f>
        <v>0.94852334598251109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B48A2-8BD9-45D5-9345-761D888D38F3}">
  <sheetPr codeName="Sheet5"/>
  <dimension ref="C1:K4"/>
  <sheetViews>
    <sheetView zoomScale="160" zoomScaleNormal="160" workbookViewId="0">
      <selection activeCell="I4" sqref="I4"/>
    </sheetView>
  </sheetViews>
  <sheetFormatPr defaultRowHeight="18" x14ac:dyDescent="0.45"/>
  <sheetData>
    <row r="1" spans="3:11" x14ac:dyDescent="0.45">
      <c r="D1">
        <v>0</v>
      </c>
      <c r="G1">
        <f>(20+80)/((20+95)*(1-D1*0.01)+20+80)</f>
        <v>0.46511627906976744</v>
      </c>
    </row>
    <row r="2" spans="3:11" x14ac:dyDescent="0.45">
      <c r="C2" t="s">
        <v>104</v>
      </c>
      <c r="D2">
        <v>74</v>
      </c>
      <c r="G2">
        <f>(20+80)/((20+95)*(1-D2*0.01)+20+80)</f>
        <v>0.76982294072363355</v>
      </c>
      <c r="I2">
        <f>(G2/G1-1)*100</f>
        <v>65.5119322555812</v>
      </c>
    </row>
    <row r="3" spans="3:11" x14ac:dyDescent="0.45">
      <c r="C3" t="s">
        <v>105</v>
      </c>
      <c r="D3">
        <v>94</v>
      </c>
      <c r="G3">
        <f>(20+80)/((20+95)*(1-D3*0.01)+20+80)</f>
        <v>0.93545369504209552</v>
      </c>
      <c r="I3">
        <f>(G3/G1-1)*100</f>
        <v>101.12254443405052</v>
      </c>
      <c r="K3">
        <f>(I3/I2-1)*100</f>
        <v>54.35744444163533</v>
      </c>
    </row>
    <row r="4" spans="3:11" x14ac:dyDescent="0.45">
      <c r="D4" t="s">
        <v>62</v>
      </c>
      <c r="G4" t="s">
        <v>61</v>
      </c>
      <c r="I4" t="s">
        <v>60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hyd subDPS</vt:lpstr>
      <vt:lpstr>chiori emi</vt:lpstr>
      <vt:lpstr>talentCAL</vt:lpstr>
      <vt:lpstr>DAMAGEcal</vt:lpstr>
      <vt:lpstr>Skirk</vt:lpstr>
      <vt:lpstr>RuanmeiE1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武田　壱成</dc:creator>
  <cp:lastModifiedBy>武田　うらら</cp:lastModifiedBy>
  <dcterms:created xsi:type="dcterms:W3CDTF">2025-05-11T05:10:52Z</dcterms:created>
  <dcterms:modified xsi:type="dcterms:W3CDTF">2025-06-03T16:27:47Z</dcterms:modified>
</cp:coreProperties>
</file>